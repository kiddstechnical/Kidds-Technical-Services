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Funding Cases" sheetId="3" state="visible" r:id="rId3"/>
    <sheet xmlns:r="http://schemas.openxmlformats.org/officeDocument/2006/relationships" name="Local Business Sales" sheetId="4" state="visible" r:id="rId4"/>
    <sheet xmlns:r="http://schemas.openxmlformats.org/officeDocument/2006/relationships" name="Cash Flow $25k" sheetId="5" state="visible" r:id="rId5"/>
    <sheet xmlns:r="http://schemas.openxmlformats.org/officeDocument/2006/relationships" name="Cash Flow $50k" sheetId="6" state="visible" r:id="rId6"/>
    <sheet xmlns:r="http://schemas.openxmlformats.org/officeDocument/2006/relationships" name="Pipeline Tracker" sheetId="7" state="visible" r:id="rId7"/>
    <sheet xmlns:r="http://schemas.openxmlformats.org/officeDocument/2006/relationships" name="Debt Scenarios" sheetId="8" state="visible" r:id="rId8"/>
    <sheet xmlns:r="http://schemas.openxmlformats.org/officeDocument/2006/relationships" name="Assumptions Register" sheetId="9" state="visible" r:id="rId9"/>
    <sheet xmlns:r="http://schemas.openxmlformats.org/officeDocument/2006/relationships" name="WVSBDC Brie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$#,##0;[Red]($#,##0)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KTS Pre-Revenue SBA Readiness Workbook</t>
        </is>
      </c>
    </row>
    <row r="2" ht="35" customHeight="1">
      <c r="A2" s="2" t="inlineStr">
        <is>
          <t>Built from the stated KTS circumstances. It is designed for a West Virginia SBDC / SBA funding-readiness conversation, not a loan application or financing promise.</t>
        </is>
      </c>
    </row>
    <row r="3"/>
    <row r="4" ht="43" customHeight="1">
      <c r="A4" s="3" t="inlineStr">
        <is>
          <t>Current status</t>
        </is>
      </c>
      <c r="B4" s="4" t="inlineStr">
        <is>
          <t>Kidd’s Technical Services, LLC (KTS) is pre-revenue and bootstrapped.</t>
        </is>
      </c>
      <c r="C4" s="4" t="n"/>
      <c r="D4" s="4" t="n"/>
      <c r="E4" s="4" t="n"/>
      <c r="F4" s="4" t="n"/>
      <c r="G4" s="4" t="n"/>
      <c r="H4" s="4" t="n"/>
    </row>
    <row r="5" ht="43" customHeight="1">
      <c r="A5" s="3" t="inlineStr">
        <is>
          <t>Customer evidence</t>
        </is>
      </c>
      <c r="B5" s="4" t="inlineStr">
        <is>
          <t>No signed customer contracts, deposits, invoices, purchase orders, or letters of intent are assumed at the start of this workbook.</t>
        </is>
      </c>
      <c r="C5" s="4" t="n"/>
      <c r="D5" s="4" t="n"/>
      <c r="E5" s="4" t="n"/>
      <c r="F5" s="4" t="n"/>
      <c r="G5" s="4" t="n"/>
      <c r="H5" s="4" t="n"/>
    </row>
    <row r="6" ht="43" customHeight="1">
      <c r="A6" s="3" t="inlineStr">
        <is>
          <t>Business cash</t>
        </is>
      </c>
      <c r="B6" s="4" t="inlineStr">
        <is>
          <t>Starting KTS business-bank cash: $0.</t>
        </is>
      </c>
      <c r="C6" s="4" t="n"/>
      <c r="D6" s="4" t="n"/>
      <c r="E6" s="4" t="n"/>
      <c r="F6" s="4" t="n"/>
      <c r="G6" s="4" t="n"/>
      <c r="H6" s="4" t="n"/>
    </row>
    <row r="7" ht="43" customHeight="1">
      <c r="A7" s="3" t="inlineStr">
        <is>
          <t>Funding cases</t>
        </is>
      </c>
      <c r="B7" s="4" t="inlineStr">
        <is>
          <t>Both $25,000 and $50,000 staged starter cases are included. Neither is approved financing.</t>
        </is>
      </c>
      <c r="C7" s="4" t="n"/>
      <c r="D7" s="4" t="n"/>
      <c r="E7" s="4" t="n"/>
      <c r="F7" s="4" t="n"/>
      <c r="G7" s="4" t="n"/>
      <c r="H7" s="4" t="n"/>
    </row>
    <row r="8" ht="43" customHeight="1">
      <c r="A8" s="3" t="inlineStr">
        <is>
          <t>Founder pay</t>
        </is>
      </c>
      <c r="B8" s="4" t="inlineStr">
        <is>
          <t>Founder draw/payroll is $0 throughout this starter model. The $100,000 annual founder-pay goal remains a future target, not current payroll.</t>
        </is>
      </c>
      <c r="C8" s="4" t="n"/>
      <c r="D8" s="4" t="n"/>
      <c r="E8" s="4" t="n"/>
      <c r="F8" s="4" t="n"/>
      <c r="G8" s="4" t="n"/>
      <c r="H8" s="4" t="n"/>
    </row>
    <row r="9" ht="43" customHeight="1">
      <c r="A9" s="3" t="inlineStr">
        <is>
          <t>Personal income</t>
        </is>
      </c>
      <c r="B9" s="4" t="inlineStr">
        <is>
          <t>Founder receives personal caregiver compensation through a Medicaid-waiver program. It is personal income, not KTS revenue, and is excluded from all KTS financial statements and repayment projections.</t>
        </is>
      </c>
      <c r="C9" s="4" t="n"/>
      <c r="D9" s="4" t="n"/>
      <c r="E9" s="4" t="n"/>
      <c r="F9" s="4" t="n"/>
      <c r="G9" s="4" t="n"/>
      <c r="H9" s="4" t="n"/>
    </row>
    <row r="10" ht="43" customHeight="1">
      <c r="A10" s="3" t="inlineStr">
        <is>
          <t>Personal costs / debt</t>
        </is>
      </c>
      <c r="B10" s="4" t="inlineStr">
        <is>
          <t>User stated no personal living costs and no existing monthly debt. This workbook records that as user-provided information, but a lender/advisor may still ask for a private personal budget and supporting documentation.</t>
        </is>
      </c>
      <c r="C10" s="4" t="n"/>
      <c r="D10" s="4" t="n"/>
      <c r="E10" s="4" t="n"/>
      <c r="F10" s="4" t="n"/>
      <c r="G10" s="4" t="n"/>
      <c r="H10" s="4" t="n"/>
    </row>
    <row r="11" ht="43" customHeight="1">
      <c r="A11" s="3" t="inlineStr">
        <is>
          <t>Business essentials</t>
        </is>
      </c>
      <c r="B11" s="4" t="inlineStr">
        <is>
          <t>KTS reported no existing business equipment, software, domains, phone, internet, insurance, or website. Funding cases therefore include startup provisions for essentials.</t>
        </is>
      </c>
      <c r="C11" s="4" t="n"/>
      <c r="D11" s="4" t="n"/>
      <c r="E11" s="4" t="n"/>
      <c r="F11" s="4" t="n"/>
      <c r="G11" s="4" t="n"/>
      <c r="H11" s="4" t="n"/>
    </row>
    <row r="12" ht="43" customHeight="1">
      <c r="A12" s="3" t="inlineStr">
        <is>
          <t>Revenue focus</t>
        </is>
      </c>
      <c r="B12" s="4" t="inlineStr">
        <is>
          <t>Initial sales focus: local-business packages. Revenue projections are assumptions only, not booked sales.</t>
        </is>
      </c>
      <c r="C12" s="4" t="n"/>
      <c r="D12" s="4" t="n"/>
      <c r="E12" s="4" t="n"/>
      <c r="F12" s="4" t="n"/>
      <c r="G12" s="4" t="n"/>
      <c r="H12" s="4" t="n"/>
    </row>
    <row r="13" ht="43" customHeight="1">
      <c r="A13" s="3" t="inlineStr">
        <is>
          <t>ALLIS boundary</t>
        </is>
      </c>
      <c r="B13" s="4" t="inlineStr">
        <is>
          <t>ALLIS revenue is $0 in every month and excluded from funding, repayment, staffing, and revenue assumptions until market-ready and separately authorized.</t>
        </is>
      </c>
      <c r="C13" s="4" t="n"/>
      <c r="D13" s="4" t="n"/>
      <c r="E13" s="4" t="n"/>
      <c r="F13" s="4" t="n"/>
      <c r="G13" s="4" t="n"/>
      <c r="H13" s="4" t="n"/>
    </row>
    <row r="14" ht="43" customHeight="1">
      <c r="A14" s="3" t="inlineStr">
        <is>
          <t>Legal planning</t>
        </is>
      </c>
      <c r="B14" s="4" t="inlineStr">
        <is>
          <t>Proposed, not contracted: $150/hour; up to 33 hours per quarter; $4,950 quarterly legal budget; $50 quarterly minor operating-overhead reserve; $20,000 annual planning total.</t>
        </is>
      </c>
      <c r="C14" s="4" t="n"/>
      <c r="D14" s="4" t="n"/>
      <c r="E14" s="4" t="n"/>
      <c r="F14" s="4" t="n"/>
      <c r="G14" s="4" t="n"/>
      <c r="H14" s="4" t="n"/>
    </row>
    <row r="15"/>
    <row r="16"/>
    <row r="17" ht="42" customHeight="1">
      <c r="A17" s="5" t="inlineStr">
        <is>
          <t>Use guidance</t>
        </is>
      </c>
      <c r="B17" s="6" t="inlineStr">
        <is>
          <t>Edit only yellow input cells after you have a quote, real pipeline evidence, actual bank balance, or lender term. Keep private owner records, caregiver-income documents, tax records, and bank statements outside public GitHub.</t>
        </is>
      </c>
    </row>
  </sheetData>
  <mergeCells count="14">
    <mergeCell ref="B8:H8"/>
    <mergeCell ref="B14:H14"/>
    <mergeCell ref="B17:H17"/>
    <mergeCell ref="B9:H9"/>
    <mergeCell ref="B13:H13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8" customWidth="1" min="3" max="3"/>
    <col width="15" customWidth="1" min="4" max="4"/>
    <col width="25" customWidth="1" min="5" max="5"/>
    <col width="31" customWidth="1" min="6" max="6"/>
    <col width="37" customWidth="1" min="7" max="7"/>
    <col width="14" customWidth="1" min="8" max="8"/>
  </cols>
  <sheetData>
    <row r="1" ht="28" customHeight="1">
      <c r="A1" s="1" t="inlineStr">
        <is>
          <t>Assumptions</t>
        </is>
      </c>
    </row>
    <row r="2" ht="35" customHeight="1">
      <c r="A2" s="2" t="inlineStr">
        <is>
          <t>Yellow fields are editable. Every item is classified so planning values are not mistaken for verified facts.</t>
        </is>
      </c>
    </row>
    <row r="3"/>
    <row r="4" ht="30" customHeight="1">
      <c r="A4" s="3" t="inlineStr">
        <is>
          <t>Area</t>
        </is>
      </c>
      <c r="B4" s="3" t="inlineStr">
        <is>
          <t>Input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Classification</t>
        </is>
      </c>
      <c r="F4" s="3" t="inlineStr">
        <is>
          <t>Evidence / source</t>
        </is>
      </c>
      <c r="G4" s="3" t="inlineStr">
        <is>
          <t>How to use it</t>
        </is>
      </c>
      <c r="H4" s="3" t="inlineStr">
        <is>
          <t>Public-safe?</t>
        </is>
      </c>
    </row>
    <row r="5">
      <c r="A5" s="4" t="inlineStr">
        <is>
          <t>Model</t>
        </is>
      </c>
      <c r="B5" s="4" t="inlineStr">
        <is>
          <t>Start month</t>
        </is>
      </c>
      <c r="C5" s="7" t="n">
        <v>46266</v>
      </c>
      <c r="D5" s="4" t="inlineStr">
        <is>
          <t>Month</t>
        </is>
      </c>
      <c r="E5" s="4" t="inlineStr">
        <is>
          <t>User-confirmed</t>
        </is>
      </c>
      <c r="F5" s="4" t="inlineStr">
        <is>
          <t>Conversation</t>
        </is>
      </c>
      <c r="G5" s="4" t="inlineStr">
        <is>
          <t>Change only if start changes</t>
        </is>
      </c>
      <c r="H5" s="4" t="inlineStr">
        <is>
          <t>Yes</t>
        </is>
      </c>
    </row>
    <row r="6">
      <c r="A6" s="4" t="inlineStr">
        <is>
          <t>Cash</t>
        </is>
      </c>
      <c r="B6" s="4" t="inlineStr">
        <is>
          <t>Starting KTS business cash</t>
        </is>
      </c>
      <c r="C6" s="8" t="n">
        <v>0</v>
      </c>
      <c r="D6" s="4" t="inlineStr">
        <is>
          <t>USD</t>
        </is>
      </c>
      <c r="E6" s="4" t="inlineStr">
        <is>
          <t>User-confirmed</t>
        </is>
      </c>
      <c r="F6" s="4" t="inlineStr">
        <is>
          <t>Conversation</t>
        </is>
      </c>
      <c r="G6" s="4" t="inlineStr">
        <is>
          <t>Use actual KTS bank balance; currently $0</t>
        </is>
      </c>
      <c r="H6" s="4" t="inlineStr">
        <is>
          <t>Yes</t>
        </is>
      </c>
    </row>
    <row r="7">
      <c r="A7" s="4" t="inlineStr">
        <is>
          <t>Funding</t>
        </is>
      </c>
      <c r="B7" s="4" t="inlineStr">
        <is>
          <t>Discussion case A</t>
        </is>
      </c>
      <c r="C7" s="8" t="n">
        <v>25000</v>
      </c>
      <c r="D7" s="4" t="inlineStr">
        <is>
          <t>USD</t>
        </is>
      </c>
      <c r="E7" s="4" t="inlineStr">
        <is>
          <t>User-confirmed choice</t>
        </is>
      </c>
      <c r="F7" s="4" t="inlineStr">
        <is>
          <t>Conversation</t>
        </is>
      </c>
      <c r="G7" s="4" t="inlineStr">
        <is>
          <t>Not approved financing</t>
        </is>
      </c>
      <c r="H7" s="4" t="inlineStr">
        <is>
          <t>Yes</t>
        </is>
      </c>
    </row>
    <row r="8">
      <c r="A8" s="4" t="inlineStr">
        <is>
          <t>Funding</t>
        </is>
      </c>
      <c r="B8" s="4" t="inlineStr">
        <is>
          <t>Discussion case B</t>
        </is>
      </c>
      <c r="C8" s="8" t="n">
        <v>50000</v>
      </c>
      <c r="D8" s="4" t="inlineStr">
        <is>
          <t>USD</t>
        </is>
      </c>
      <c r="E8" s="4" t="inlineStr">
        <is>
          <t>User-confirmed choice</t>
        </is>
      </c>
      <c r="F8" s="4" t="inlineStr">
        <is>
          <t>Conversation</t>
        </is>
      </c>
      <c r="G8" s="4" t="inlineStr">
        <is>
          <t>Not approved financing</t>
        </is>
      </c>
      <c r="H8" s="4" t="inlineStr">
        <is>
          <t>Yes</t>
        </is>
      </c>
    </row>
    <row r="9">
      <c r="A9" s="4" t="inlineStr">
        <is>
          <t>Revenue</t>
        </is>
      </c>
      <c r="B9" s="4" t="inlineStr">
        <is>
          <t>Contracts / deposits / invoices / POs / LOIs at start</t>
        </is>
      </c>
      <c r="C9" s="8" t="n">
        <v>0</v>
      </c>
      <c r="D9" s="4" t="inlineStr">
        <is>
          <t>USD</t>
        </is>
      </c>
      <c r="E9" s="4" t="inlineStr">
        <is>
          <t>User-confirmed</t>
        </is>
      </c>
      <c r="F9" s="4" t="inlineStr">
        <is>
          <t>Conversation</t>
        </is>
      </c>
      <c r="G9" s="4" t="inlineStr">
        <is>
          <t>Do not assume any customer cash</t>
        </is>
      </c>
      <c r="H9" s="4" t="inlineStr">
        <is>
          <t>Yes</t>
        </is>
      </c>
    </row>
    <row r="10">
      <c r="A10" s="4" t="inlineStr">
        <is>
          <t>Revenue</t>
        </is>
      </c>
      <c r="B10" s="4" t="inlineStr">
        <is>
          <t>ALLIS revenue</t>
        </is>
      </c>
      <c r="C10" s="8" t="n">
        <v>0</v>
      </c>
      <c r="D10" s="4" t="inlineStr">
        <is>
          <t>USD</t>
        </is>
      </c>
      <c r="E10" s="4" t="inlineStr">
        <is>
          <t>Business boundary</t>
        </is>
      </c>
      <c r="F10" s="4" t="inlineStr">
        <is>
          <t>KTS planning position</t>
        </is>
      </c>
      <c r="G10" s="4" t="inlineStr">
        <is>
          <t>Always $0 in starter model</t>
        </is>
      </c>
      <c r="H10" s="4" t="inlineStr">
        <is>
          <t>Yes</t>
        </is>
      </c>
    </row>
    <row r="11">
      <c r="A11" s="4" t="inlineStr">
        <is>
          <t>People</t>
        </is>
      </c>
      <c r="B11" s="4" t="inlineStr">
        <is>
          <t>Founder payroll, Months 1–24</t>
        </is>
      </c>
      <c r="C11" s="8" t="n">
        <v>0</v>
      </c>
      <c r="D11" s="4" t="inlineStr">
        <is>
          <t>USD/month</t>
        </is>
      </c>
      <c r="E11" s="4" t="inlineStr">
        <is>
          <t>User-confirmed</t>
        </is>
      </c>
      <c r="F11" s="4" t="inlineStr">
        <is>
          <t>Conversation</t>
        </is>
      </c>
      <c r="G11" s="4" t="inlineStr">
        <is>
          <t>No salary assumed in starter model</t>
        </is>
      </c>
      <c r="H11" s="4" t="inlineStr">
        <is>
          <t>Yes</t>
        </is>
      </c>
    </row>
    <row r="12">
      <c r="A12" s="4" t="inlineStr">
        <is>
          <t>People</t>
        </is>
      </c>
      <c r="B12" s="4" t="inlineStr">
        <is>
          <t>Founder future annual target</t>
        </is>
      </c>
      <c r="C12" s="8" t="n">
        <v>100000</v>
      </c>
      <c r="D12" s="4" t="inlineStr">
        <is>
          <t>USD/year</t>
        </is>
      </c>
      <c r="E12" s="4" t="inlineStr">
        <is>
          <t>Stated target</t>
        </is>
      </c>
      <c r="F12" s="4" t="inlineStr">
        <is>
          <t>Conversation</t>
        </is>
      </c>
      <c r="G12" s="4" t="inlineStr">
        <is>
          <t>Future target only; do not use for repayment</t>
        </is>
      </c>
      <c r="H12" s="4" t="inlineStr">
        <is>
          <t>Yes</t>
        </is>
      </c>
    </row>
    <row r="13">
      <c r="A13" s="4" t="inlineStr">
        <is>
          <t>Personal</t>
        </is>
      </c>
      <c r="B13" s="4" t="inlineStr">
        <is>
          <t>Medicaid-waiver caregiver compensation</t>
        </is>
      </c>
      <c r="C13" s="9" t="inlineStr">
        <is>
          <t>Excluded</t>
        </is>
      </c>
      <c r="D13" s="4" t="inlineStr">
        <is>
          <t>Personal income</t>
        </is>
      </c>
      <c r="E13" s="4" t="inlineStr">
        <is>
          <t>User-confirmed</t>
        </is>
      </c>
      <c r="F13" s="4" t="inlineStr">
        <is>
          <t>Private pay/tax documents</t>
        </is>
      </c>
      <c r="G13" s="4" t="inlineStr">
        <is>
          <t>Not KTS revenue or cash flow; disclose privately if requested</t>
        </is>
      </c>
      <c r="H13" s="4" t="inlineStr">
        <is>
          <t>No</t>
        </is>
      </c>
    </row>
    <row r="14">
      <c r="A14" s="4" t="inlineStr">
        <is>
          <t>Personal</t>
        </is>
      </c>
      <c r="B14" s="4" t="inlineStr">
        <is>
          <t>Personal living costs</t>
        </is>
      </c>
      <c r="C14" s="8" t="n">
        <v>0</v>
      </c>
      <c r="D14" s="4" t="inlineStr">
        <is>
          <t>USD/month</t>
        </is>
      </c>
      <c r="E14" s="4" t="inlineStr">
        <is>
          <t>User-provided</t>
        </is>
      </c>
      <c r="F14" s="4" t="inlineStr">
        <is>
          <t>Conversation</t>
        </is>
      </c>
      <c r="G14" s="4" t="inlineStr">
        <is>
          <t>Validate privately with advisor/lender if requested</t>
        </is>
      </c>
      <c r="H14" s="4" t="inlineStr">
        <is>
          <t>No</t>
        </is>
      </c>
    </row>
    <row r="15">
      <c r="A15" s="4" t="inlineStr">
        <is>
          <t>Personal</t>
        </is>
      </c>
      <c r="B15" s="4" t="inlineStr">
        <is>
          <t>Existing monthly debt payments</t>
        </is>
      </c>
      <c r="C15" s="8" t="n">
        <v>0</v>
      </c>
      <c r="D15" s="4" t="inlineStr">
        <is>
          <t>USD/month</t>
        </is>
      </c>
      <c r="E15" s="4" t="inlineStr">
        <is>
          <t>User-provided</t>
        </is>
      </c>
      <c r="F15" s="4" t="inlineStr">
        <is>
          <t>Conversation</t>
        </is>
      </c>
      <c r="G15" s="4" t="inlineStr">
        <is>
          <t>Validate privately with advisor/lender if requested</t>
        </is>
      </c>
      <c r="H15" s="4" t="inlineStr">
        <is>
          <t>No</t>
        </is>
      </c>
    </row>
    <row r="16">
      <c r="A16" s="4" t="inlineStr">
        <is>
          <t>Assets</t>
        </is>
      </c>
      <c r="B16" s="4" t="inlineStr">
        <is>
          <t>Existing KTS equipment/software/website/insurance</t>
        </is>
      </c>
      <c r="C16" s="8" t="n">
        <v>0</v>
      </c>
      <c r="D16" s="4" t="inlineStr">
        <is>
          <t>USD</t>
        </is>
      </c>
      <c r="E16" s="4" t="inlineStr">
        <is>
          <t>User-confirmed</t>
        </is>
      </c>
      <c r="F16" s="4" t="inlineStr">
        <is>
          <t>Conversation</t>
        </is>
      </c>
      <c r="G16" s="4" t="inlineStr">
        <is>
          <t>Fund startup essentials from case A or B</t>
        </is>
      </c>
      <c r="H16" s="4" t="inlineStr">
        <is>
          <t>Yes</t>
        </is>
      </c>
    </row>
    <row r="17">
      <c r="A17" s="4" t="inlineStr">
        <is>
          <t>Sales</t>
        </is>
      </c>
      <c r="B17" s="4" t="inlineStr">
        <is>
          <t>Initial revenue focus</t>
        </is>
      </c>
      <c r="C17" s="9" t="inlineStr">
        <is>
          <t>Local-business packages</t>
        </is>
      </c>
      <c r="D17" s="4" t="inlineStr">
        <is>
          <t>Text</t>
        </is>
      </c>
      <c r="E17" s="4" t="inlineStr">
        <is>
          <t>User-confirmed</t>
        </is>
      </c>
      <c r="F17" s="4" t="inlineStr">
        <is>
          <t>Conversation</t>
        </is>
      </c>
      <c r="G17" s="4" t="inlineStr">
        <is>
          <t>Only initial modeled service line</t>
        </is>
      </c>
      <c r="H17" s="4" t="inlineStr">
        <is>
          <t>Yes</t>
        </is>
      </c>
    </row>
    <row r="18">
      <c r="A18" s="4" t="inlineStr">
        <is>
          <t>Sales</t>
        </is>
      </c>
      <c r="B18" s="4" t="inlineStr">
        <is>
          <t>Average local-business package price</t>
        </is>
      </c>
      <c r="C18" s="8" t="n">
        <v>2500</v>
      </c>
      <c r="D18" s="4" t="inlineStr">
        <is>
          <t>USD</t>
        </is>
      </c>
      <c r="E18" s="4" t="inlineStr">
        <is>
          <t>Planning assumption</t>
        </is>
      </c>
      <c r="F18" s="4" t="inlineStr">
        <is>
          <t>Replace with actual offers and quotes</t>
        </is>
      </c>
      <c r="G18" s="4" t="inlineStr">
        <is>
          <t>Editable assumption</t>
        </is>
      </c>
      <c r="H18" s="4" t="inlineStr">
        <is>
          <t>Yes</t>
        </is>
      </c>
    </row>
    <row r="19">
      <c r="A19" s="4" t="inlineStr">
        <is>
          <t>Sales</t>
        </is>
      </c>
      <c r="B19" s="4" t="inlineStr">
        <is>
          <t>Deposit percentage</t>
        </is>
      </c>
      <c r="C19" s="10" t="n">
        <v>0.5</v>
      </c>
      <c r="D19" s="4" t="inlineStr">
        <is>
          <t>Percent</t>
        </is>
      </c>
      <c r="E19" s="4" t="inlineStr">
        <is>
          <t>Planning policy</t>
        </is>
      </c>
      <c r="F19" s="4" t="inlineStr">
        <is>
          <t>Future agreements</t>
        </is>
      </c>
      <c r="G19" s="4" t="inlineStr">
        <is>
          <t>50% before delivery; edit only if terms change</t>
        </is>
      </c>
      <c r="H19" s="4" t="inlineStr">
        <is>
          <t>Yes</t>
        </is>
      </c>
    </row>
    <row r="20">
      <c r="A20" s="4" t="inlineStr">
        <is>
          <t>Sales</t>
        </is>
      </c>
      <c r="B20" s="4" t="inlineStr">
        <is>
          <t>Final collection delay</t>
        </is>
      </c>
      <c r="C20" s="9" t="n">
        <v>30</v>
      </c>
      <c r="D20" s="4" t="inlineStr">
        <is>
          <t>Days</t>
        </is>
      </c>
      <c r="E20" s="4" t="inlineStr">
        <is>
          <t>Planning assumption</t>
        </is>
      </c>
      <c r="F20" s="4" t="inlineStr">
        <is>
          <t>Future agreements</t>
        </is>
      </c>
      <c r="G20" s="4" t="inlineStr">
        <is>
          <t>Illustrative; not guaranteed collection</t>
        </is>
      </c>
      <c r="H20" s="4" t="inlineStr">
        <is>
          <t>Yes</t>
        </is>
      </c>
    </row>
    <row r="21">
      <c r="A21" s="4" t="inlineStr">
        <is>
          <t>Sales</t>
        </is>
      </c>
      <c r="B21" s="4" t="inlineStr">
        <is>
          <t>Direct project cost ratio</t>
        </is>
      </c>
      <c r="C21" s="10" t="n">
        <v>0.3</v>
      </c>
      <c r="D21" s="4" t="inlineStr">
        <is>
          <t>Percent</t>
        </is>
      </c>
      <c r="E21" s="4" t="inlineStr">
        <is>
          <t>Planning assumption</t>
        </is>
      </c>
      <c r="F21" s="4" t="inlineStr">
        <is>
          <t>Actual job-costing data</t>
        </is>
      </c>
      <c r="G21" s="4" t="inlineStr">
        <is>
          <t>Contractors/project expenses only</t>
        </is>
      </c>
      <c r="H21" s="4" t="inlineStr">
        <is>
          <t>Yes</t>
        </is>
      </c>
    </row>
    <row r="22">
      <c r="A22" s="4" t="inlineStr">
        <is>
          <t>Legal</t>
        </is>
      </c>
      <c r="B22" s="4" t="inlineStr">
        <is>
          <t>Proposed hourly rate</t>
        </is>
      </c>
      <c r="C22" s="8" t="n">
        <v>150</v>
      </c>
      <c r="D22" s="4" t="inlineStr">
        <is>
          <t>USD/hour</t>
        </is>
      </c>
      <c r="E22" s="4" t="inlineStr">
        <is>
          <t>Proposed, not contracted</t>
        </is>
      </c>
      <c r="F22" s="4" t="inlineStr">
        <is>
          <t>Conversation</t>
        </is>
      </c>
      <c r="G22" s="4" t="inlineStr">
        <is>
          <t>Obtain signed engagement terms if accepted</t>
        </is>
      </c>
      <c r="H22" s="4" t="inlineStr">
        <is>
          <t>Yes</t>
        </is>
      </c>
    </row>
    <row r="23">
      <c r="A23" s="4" t="inlineStr">
        <is>
          <t>Legal</t>
        </is>
      </c>
      <c r="B23" s="4" t="inlineStr">
        <is>
          <t>Proposed hours per quarter</t>
        </is>
      </c>
      <c r="C23" s="9" t="n">
        <v>33</v>
      </c>
      <c r="D23" s="4" t="inlineStr">
        <is>
          <t>Hours</t>
        </is>
      </c>
      <c r="E23" s="4" t="inlineStr">
        <is>
          <t>Proposed, not contracted</t>
        </is>
      </c>
      <c r="F23" s="4" t="inlineStr">
        <is>
          <t>Conversation</t>
        </is>
      </c>
      <c r="G23" s="4" t="inlineStr">
        <is>
          <t>Cap per quarter</t>
        </is>
      </c>
      <c r="H23" s="4" t="inlineStr">
        <is>
          <t>Yes</t>
        </is>
      </c>
    </row>
    <row r="24">
      <c r="A24" s="4" t="inlineStr">
        <is>
          <t>Legal</t>
        </is>
      </c>
      <c r="B24" s="4" t="inlineStr">
        <is>
          <t>Quarterly legal budget</t>
        </is>
      </c>
      <c r="C24" s="8" t="n">
        <v>4950</v>
      </c>
      <c r="D24" s="4" t="inlineStr">
        <is>
          <t>USD</t>
        </is>
      </c>
      <c r="E24" s="4" t="inlineStr">
        <is>
          <t>Calculated planning budget</t>
        </is>
      </c>
      <c r="F24" s="4" t="inlineStr">
        <is>
          <t>33 × $150</t>
        </is>
      </c>
      <c r="G24" s="4" t="inlineStr">
        <is>
          <t>Actual invoices govern</t>
        </is>
      </c>
      <c r="H24" s="4" t="inlineStr">
        <is>
          <t>Yes</t>
        </is>
      </c>
    </row>
    <row r="25">
      <c r="A25" s="4" t="inlineStr">
        <is>
          <t>Legal</t>
        </is>
      </c>
      <c r="B25" s="4" t="inlineStr">
        <is>
          <t>Quarterly minor-overhead reserve</t>
        </is>
      </c>
      <c r="C25" s="8" t="n">
        <v>50</v>
      </c>
      <c r="D25" s="4" t="inlineStr">
        <is>
          <t>USD</t>
        </is>
      </c>
      <c r="E25" s="4" t="inlineStr">
        <is>
          <t>Planning assumption</t>
        </is>
      </c>
      <c r="F25" s="4" t="inlineStr">
        <is>
          <t>Conversation</t>
        </is>
      </c>
      <c r="G25" s="4" t="inlineStr">
        <is>
          <t>Mileage, parking, postage, supplies, etc.</t>
        </is>
      </c>
      <c r="H25" s="4" t="inlineStr">
        <is>
          <t>Yes</t>
        </is>
      </c>
    </row>
    <row r="26">
      <c r="A26" s="4" t="inlineStr">
        <is>
          <t>Ops</t>
        </is>
      </c>
      <c r="B26" s="4" t="inlineStr">
        <is>
          <t>Software/domains/storage/communications</t>
        </is>
      </c>
      <c r="C26" s="8" t="n">
        <v>250</v>
      </c>
      <c r="D26" s="4" t="inlineStr">
        <is>
          <t>USD/month</t>
        </is>
      </c>
      <c r="E26" s="4" t="inlineStr">
        <is>
          <t>Planning assumption</t>
        </is>
      </c>
      <c r="F26" s="4" t="inlineStr">
        <is>
          <t>Vendor quotes needed</t>
        </is>
      </c>
      <c r="G26" s="4" t="inlineStr">
        <is>
          <t>Startup allowance</t>
        </is>
      </c>
      <c r="H26" s="4" t="inlineStr">
        <is>
          <t>Yes</t>
        </is>
      </c>
    </row>
    <row r="27">
      <c r="A27" s="4" t="inlineStr">
        <is>
          <t>Ops</t>
        </is>
      </c>
      <c r="B27" s="4" t="inlineStr">
        <is>
          <t>Insurance</t>
        </is>
      </c>
      <c r="C27" s="8" t="n">
        <v>250</v>
      </c>
      <c r="D27" s="4" t="inlineStr">
        <is>
          <t>USD/month</t>
        </is>
      </c>
      <c r="E27" s="4" t="inlineStr">
        <is>
          <t>Planning assumption</t>
        </is>
      </c>
      <c r="F27" s="4" t="inlineStr">
        <is>
          <t>Insurance quotes needed</t>
        </is>
      </c>
      <c r="G27" s="4" t="inlineStr">
        <is>
          <t>Startup allowance</t>
        </is>
      </c>
      <c r="H27" s="4" t="inlineStr">
        <is>
          <t>Yes</t>
        </is>
      </c>
    </row>
    <row r="28">
      <c r="A28" s="4" t="inlineStr">
        <is>
          <t>Ops</t>
        </is>
      </c>
      <c r="B28" s="4" t="inlineStr">
        <is>
          <t>Bookkeeping/accounting</t>
        </is>
      </c>
      <c r="C28" s="8" t="n">
        <v>150</v>
      </c>
      <c r="D28" s="4" t="inlineStr">
        <is>
          <t>USD/month</t>
        </is>
      </c>
      <c r="E28" s="4" t="inlineStr">
        <is>
          <t>Planning assumption</t>
        </is>
      </c>
      <c r="F28" s="4" t="inlineStr">
        <is>
          <t>Provider quote needed</t>
        </is>
      </c>
      <c r="G28" s="4" t="inlineStr">
        <is>
          <t>Startup allowance</t>
        </is>
      </c>
      <c r="H28" s="4" t="inlineStr">
        <is>
          <t>Yes</t>
        </is>
      </c>
    </row>
    <row r="29">
      <c r="A29" s="4" t="inlineStr">
        <is>
          <t>Ops</t>
        </is>
      </c>
      <c r="B29" s="4" t="inlineStr">
        <is>
          <t>Marketing/outreach</t>
        </is>
      </c>
      <c r="C29" s="8" t="n">
        <v>500</v>
      </c>
      <c r="D29" s="4" t="inlineStr">
        <is>
          <t>USD/month</t>
        </is>
      </c>
      <c r="E29" s="4" t="inlineStr">
        <is>
          <t>Planning assumption</t>
        </is>
      </c>
      <c r="F29" s="4" t="inlineStr">
        <is>
          <t>Marketing plan needed</t>
        </is>
      </c>
      <c r="G29" s="4" t="inlineStr">
        <is>
          <t>Startup allowance</t>
        </is>
      </c>
      <c r="H29" s="4" t="inlineStr">
        <is>
          <t>Yes</t>
        </is>
      </c>
    </row>
    <row r="30">
      <c r="A30" s="4" t="inlineStr">
        <is>
          <t>Ops</t>
        </is>
      </c>
      <c r="B30" s="4" t="inlineStr">
        <is>
          <t>General operating costs</t>
        </is>
      </c>
      <c r="C30" s="8" t="n">
        <v>150</v>
      </c>
      <c r="D30" s="4" t="inlineStr">
        <is>
          <t>USD/month</t>
        </is>
      </c>
      <c r="E30" s="4" t="inlineStr">
        <is>
          <t>Planning assumption</t>
        </is>
      </c>
      <c r="F30" s="4" t="inlineStr">
        <is>
          <t>Actual receipts needed</t>
        </is>
      </c>
      <c r="G30" s="4" t="inlineStr">
        <is>
          <t>Startup allowance</t>
        </is>
      </c>
      <c r="H30" s="4" t="inlineStr">
        <is>
          <t>Yes</t>
        </is>
      </c>
    </row>
    <row r="31">
      <c r="A31" s="4" t="inlineStr">
        <is>
          <t>Ops</t>
        </is>
      </c>
      <c r="B31" s="4" t="inlineStr">
        <is>
          <t>One-time equipment/startup setup</t>
        </is>
      </c>
      <c r="C31" s="8" t="n">
        <v>5000</v>
      </c>
      <c r="D31" s="4" t="inlineStr">
        <is>
          <t>USD</t>
        </is>
      </c>
      <c r="E31" s="4" t="inlineStr">
        <is>
          <t>Planning assumption</t>
        </is>
      </c>
      <c r="F31" s="4" t="inlineStr">
        <is>
          <t>Equipment quotes needed</t>
        </is>
      </c>
      <c r="G31" s="4" t="inlineStr">
        <is>
          <t>Starter case allocation</t>
        </is>
      </c>
      <c r="H31" s="4" t="inlineStr">
        <is>
          <t>Yes</t>
        </is>
      </c>
    </row>
    <row r="32">
      <c r="A32" s="4" t="inlineStr">
        <is>
          <t>Debt</t>
        </is>
      </c>
      <c r="B32" s="4" t="inlineStr">
        <is>
          <t>Illustrative annual interest rate</t>
        </is>
      </c>
      <c r="C32" s="10" t="n">
        <v>0.11</v>
      </c>
      <c r="D32" s="4" t="inlineStr">
        <is>
          <t>Percent</t>
        </is>
      </c>
      <c r="E32" s="4" t="inlineStr">
        <is>
          <t>Illustrative only</t>
        </is>
      </c>
      <c r="F32" s="4" t="inlineStr">
        <is>
          <t>Lender quote needed</t>
        </is>
      </c>
      <c r="G32" s="4" t="inlineStr">
        <is>
          <t>Never present as offered rate</t>
        </is>
      </c>
      <c r="H32" s="4" t="inlineStr">
        <is>
          <t>Yes</t>
        </is>
      </c>
    </row>
    <row r="33">
      <c r="A33" s="4" t="inlineStr">
        <is>
          <t>Debt</t>
        </is>
      </c>
      <c r="B33" s="4" t="inlineStr">
        <is>
          <t>Illustrative loan term</t>
        </is>
      </c>
      <c r="C33" s="9" t="n">
        <v>84</v>
      </c>
      <c r="D33" s="4" t="inlineStr">
        <is>
          <t>Months</t>
        </is>
      </c>
      <c r="E33" s="4" t="inlineStr">
        <is>
          <t>Illustrative only</t>
        </is>
      </c>
      <c r="F33" s="4" t="inlineStr">
        <is>
          <t>Lender quote needed</t>
        </is>
      </c>
      <c r="G33" s="4" t="inlineStr">
        <is>
          <t>Never present as approved term</t>
        </is>
      </c>
      <c r="H33" s="4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  <col width="32" customWidth="1" min="4" max="4"/>
    <col width="31" customWidth="1" min="5" max="5"/>
    <col width="34" customWidth="1" min="6" max="6"/>
    <col width="34" customWidth="1" min="7" max="7"/>
  </cols>
  <sheetData>
    <row r="1" ht="28" customHeight="1">
      <c r="A1" s="1" t="inlineStr">
        <is>
          <t>Funding Cases</t>
        </is>
      </c>
    </row>
    <row r="2" ht="35" customHeight="1">
      <c r="A2" s="2" t="inlineStr">
        <is>
          <t>Use-of-funds discussion cases. $25,000 and $50,000 totals reconcile exactly. Actual financing must follow lender and advisor review.</t>
        </is>
      </c>
    </row>
    <row r="3"/>
    <row r="4" ht="30" customHeight="1">
      <c r="A4" s="3" t="inlineStr">
        <is>
          <t>Use of funds</t>
        </is>
      </c>
      <c r="B4" s="3" t="inlineStr">
        <is>
          <t>$25,000 case</t>
        </is>
      </c>
      <c r="C4" s="3" t="inlineStr">
        <is>
          <t>$50,000 case</t>
        </is>
      </c>
      <c r="D4" s="3" t="inlineStr">
        <is>
          <t>Why it is needed</t>
        </is>
      </c>
      <c r="E4" s="3" t="inlineStr">
        <is>
          <t>Evidence to obtain</t>
        </is>
      </c>
      <c r="F4" s="3" t="inlineStr">
        <is>
          <t>Spending control</t>
        </is>
      </c>
      <c r="G4" s="3" t="inlineStr">
        <is>
          <t>Notes</t>
        </is>
      </c>
    </row>
    <row r="5">
      <c r="A5" s="4" t="inlineStr">
        <is>
          <t>Formation, legal, and professional reserve</t>
        </is>
      </c>
      <c r="B5" s="11" t="n">
        <v>2500</v>
      </c>
      <c r="C5" s="11" t="n">
        <v>5000</v>
      </c>
      <c r="D5" s="4" t="inlineStr">
        <is>
          <t>Entity setup, contracts, legal questions, professional setup</t>
        </is>
      </c>
      <c r="E5" s="4" t="inlineStr">
        <is>
          <t>Written scope/quote where available</t>
        </is>
      </c>
      <c r="F5" s="4" t="inlineStr">
        <is>
          <t>Pay only documented invoices/approved costs</t>
        </is>
      </c>
      <c r="G5" s="4" t="inlineStr">
        <is>
          <t>Legal relationship remains proposed, not contracted</t>
        </is>
      </c>
    </row>
    <row r="6">
      <c r="A6" s="4" t="inlineStr">
        <is>
          <t>Insurance and compliance</t>
        </is>
      </c>
      <c r="B6" s="11" t="n">
        <v>2500</v>
      </c>
      <c r="C6" s="11" t="n">
        <v>5000</v>
      </c>
      <c r="D6" s="4" t="inlineStr">
        <is>
          <t>Required coverage and launch compliance</t>
        </is>
      </c>
      <c r="E6" s="4" t="inlineStr">
        <is>
          <t>Insurance quotes</t>
        </is>
      </c>
      <c r="F6" s="4" t="inlineStr">
        <is>
          <t>Bind/pay only selected policy</t>
        </is>
      </c>
      <c r="G6" s="4" t="inlineStr">
        <is>
          <t>Replace estimates with quote</t>
        </is>
      </c>
    </row>
    <row r="7">
      <c r="A7" s="4" t="inlineStr">
        <is>
          <t>Core software, domains, email, storage, communications</t>
        </is>
      </c>
      <c r="B7" s="11" t="n">
        <v>2500</v>
      </c>
      <c r="C7" s="11" t="n">
        <v>6000</v>
      </c>
      <c r="D7" s="4" t="inlineStr">
        <is>
          <t>Business email, domain, backup, collaboration, mapping/tools</t>
        </is>
      </c>
      <c r="E7" s="4" t="inlineStr">
        <is>
          <t>Vendor pricing</t>
        </is>
      </c>
      <c r="F7" s="4" t="inlineStr">
        <is>
          <t>Monthly spending cap</t>
        </is>
      </c>
      <c r="G7" s="4" t="inlineStr">
        <is>
          <t>No existing stack reported</t>
        </is>
      </c>
    </row>
    <row r="8">
      <c r="A8" s="4" t="inlineStr">
        <is>
          <t>Equipment and field tools</t>
        </is>
      </c>
      <c r="B8" s="11" t="n">
        <v>4000</v>
      </c>
      <c r="C8" s="11" t="n">
        <v>8000</v>
      </c>
      <c r="D8" s="4" t="inlineStr">
        <is>
          <t>Laptop/workstation, peripherals, storage, basic field tools</t>
        </is>
      </c>
      <c r="E8" s="4" t="inlineStr">
        <is>
          <t>Written equipment quotes</t>
        </is>
      </c>
      <c r="F8" s="4" t="inlineStr">
        <is>
          <t>Buy only necessary durable tools</t>
        </is>
      </c>
      <c r="G8" s="4" t="inlineStr">
        <is>
          <t>No existing business equipment reported</t>
        </is>
      </c>
    </row>
    <row r="9">
      <c r="A9" s="4" t="inlineStr">
        <is>
          <t>Website, portfolio, outreach, proposals, local sales</t>
        </is>
      </c>
      <c r="B9" s="11" t="n">
        <v>3500</v>
      </c>
      <c r="C9" s="11" t="n">
        <v>8000</v>
      </c>
      <c r="D9" s="4" t="inlineStr">
        <is>
          <t>Customer acquisition and credible service presentation</t>
        </is>
      </c>
      <c r="E9" s="4" t="inlineStr">
        <is>
          <t>Marketing and vendor estimates</t>
        </is>
      </c>
      <c r="F9" s="4" t="inlineStr">
        <is>
          <t>Track inquiries, proposals, wins, collections</t>
        </is>
      </c>
      <c r="G9" s="4" t="inlineStr">
        <is>
          <t>Initial focus: local-business packages</t>
        </is>
      </c>
    </row>
    <row r="10">
      <c r="A10" s="4" t="inlineStr">
        <is>
          <t>Initial operating reserve</t>
        </is>
      </c>
      <c r="B10" s="11" t="n">
        <v>7000</v>
      </c>
      <c r="C10" s="11" t="n">
        <v>10000</v>
      </c>
      <c r="D10" s="4" t="inlineStr">
        <is>
          <t>Cash cushion while selling and collecting deposits</t>
        </is>
      </c>
      <c r="E10" s="4" t="inlineStr">
        <is>
          <t>24-month cash flow</t>
        </is>
      </c>
      <c r="F10" s="4" t="inlineStr">
        <is>
          <t>Monthly budget review</t>
        </is>
      </c>
      <c r="G10" s="4" t="inlineStr">
        <is>
          <t>No founder payroll assumed</t>
        </is>
      </c>
    </row>
    <row r="11">
      <c r="A11" s="4" t="inlineStr">
        <is>
          <t>Project delivery / contractor reserve</t>
        </is>
      </c>
      <c r="B11" s="11" t="n">
        <v>2500</v>
      </c>
      <c r="C11" s="11" t="n">
        <v>6000</v>
      </c>
      <c r="D11" s="4" t="inlineStr">
        <is>
          <t>Direct delivery costs for paid customer projects</t>
        </is>
      </c>
      <c r="E11" s="4" t="inlineStr">
        <is>
          <t>Signed scope + deposit or funding</t>
        </is>
      </c>
      <c r="F11" s="4" t="inlineStr">
        <is>
          <t>Release only for funded work</t>
        </is>
      </c>
      <c r="G11" s="4" t="inlineStr">
        <is>
          <t>No standing contractor commitment</t>
        </is>
      </c>
    </row>
    <row r="12">
      <c r="A12" s="4" t="inlineStr">
        <is>
          <t>Contingency</t>
        </is>
      </c>
      <c r="B12" s="11" t="n">
        <v>500</v>
      </c>
      <c r="C12" s="11" t="n">
        <v>2000</v>
      </c>
      <c r="D12" s="4" t="inlineStr">
        <is>
          <t>Unexpected documented startup/delivery need</t>
        </is>
      </c>
      <c r="E12" s="4" t="inlineStr">
        <is>
          <t>Documented need</t>
        </is>
      </c>
      <c r="F12" s="4" t="inlineStr">
        <is>
          <t>Owner approval / receipt</t>
        </is>
      </c>
      <c r="G12" s="4" t="inlineStr">
        <is>
          <t>Not discretionary compensation</t>
        </is>
      </c>
    </row>
    <row r="13">
      <c r="A13" s="12" t="inlineStr">
        <is>
          <t>Total</t>
        </is>
      </c>
      <c r="B13" s="13">
        <f>SUM(B5:B12)</f>
        <v/>
      </c>
      <c r="C13" s="13">
        <f>SUM(C5:C12)</f>
        <v/>
      </c>
      <c r="D13" s="4" t="n"/>
      <c r="E13" s="4" t="n"/>
      <c r="F13" s="4" t="n"/>
      <c r="G13" s="4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8" customHeight="1">
      <c r="A1" s="1" t="inlineStr">
        <is>
          <t>Local-Business Sales Ramp</t>
        </is>
      </c>
    </row>
    <row r="2" ht="35" customHeight="1">
      <c r="A2" s="2" t="inlineStr">
        <is>
          <t>This is an editable conservative sales-planning ramp. It is not booked revenue. All revenue must be replaced with real leads, signed scopes, deposits, invoices, and collections.</t>
        </is>
      </c>
    </row>
    <row r="3"/>
    <row r="4" ht="30" customHeight="1">
      <c r="A4" s="3" t="inlineStr">
        <is>
          <t>Sales line</t>
        </is>
      </c>
      <c r="B4" s="3" t="inlineStr">
        <is>
          <t>Sep-26</t>
        </is>
      </c>
      <c r="C4" s="3" t="inlineStr">
        <is>
          <t>Oct-26</t>
        </is>
      </c>
      <c r="D4" s="3" t="inlineStr">
        <is>
          <t>Nov-26</t>
        </is>
      </c>
      <c r="E4" s="3" t="inlineStr">
        <is>
          <t>Dec-26</t>
        </is>
      </c>
      <c r="F4" s="3" t="inlineStr">
        <is>
          <t>Jan-27</t>
        </is>
      </c>
      <c r="G4" s="3" t="inlineStr">
        <is>
          <t>Feb-27</t>
        </is>
      </c>
      <c r="H4" s="3" t="inlineStr">
        <is>
          <t>Mar-27</t>
        </is>
      </c>
      <c r="I4" s="3" t="inlineStr">
        <is>
          <t>Apr-27</t>
        </is>
      </c>
      <c r="J4" s="3" t="inlineStr">
        <is>
          <t>May-27</t>
        </is>
      </c>
      <c r="K4" s="3" t="inlineStr">
        <is>
          <t>Jun-27</t>
        </is>
      </c>
      <c r="L4" s="3" t="inlineStr">
        <is>
          <t>Jul-27</t>
        </is>
      </c>
      <c r="M4" s="3" t="inlineStr">
        <is>
          <t>Aug-27</t>
        </is>
      </c>
      <c r="N4" s="3" t="inlineStr">
        <is>
          <t>Sep-27</t>
        </is>
      </c>
      <c r="O4" s="3" t="inlineStr">
        <is>
          <t>Oct-27</t>
        </is>
      </c>
      <c r="P4" s="3" t="inlineStr">
        <is>
          <t>Nov-27</t>
        </is>
      </c>
      <c r="Q4" s="3" t="inlineStr">
        <is>
          <t>Dec-27</t>
        </is>
      </c>
      <c r="R4" s="3" t="inlineStr">
        <is>
          <t>Jan-28</t>
        </is>
      </c>
      <c r="S4" s="3" t="inlineStr">
        <is>
          <t>Feb-28</t>
        </is>
      </c>
      <c r="T4" s="3" t="inlineStr">
        <is>
          <t>Mar-28</t>
        </is>
      </c>
      <c r="U4" s="3" t="inlineStr">
        <is>
          <t>Apr-28</t>
        </is>
      </c>
      <c r="V4" s="3" t="inlineStr">
        <is>
          <t>May-28</t>
        </is>
      </c>
      <c r="W4" s="3" t="inlineStr">
        <is>
          <t>Jun-28</t>
        </is>
      </c>
      <c r="X4" s="3" t="inlineStr">
        <is>
          <t>Jul-28</t>
        </is>
      </c>
      <c r="Y4" s="3" t="inlineStr">
        <is>
          <t>Aug-28</t>
        </is>
      </c>
    </row>
    <row r="5">
      <c r="A5" s="14" t="inlineStr">
        <is>
          <t>Planned packages sold</t>
        </is>
      </c>
      <c r="B5" s="9" t="n">
        <v>0</v>
      </c>
      <c r="C5" s="9" t="n">
        <v>0</v>
      </c>
      <c r="D5" s="9" t="n">
        <v>0</v>
      </c>
      <c r="E5" s="9" t="n">
        <v>1</v>
      </c>
      <c r="F5" s="9" t="n">
        <v>1</v>
      </c>
      <c r="G5" s="9" t="n">
        <v>1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3</v>
      </c>
      <c r="O5" s="9" t="n">
        <v>3</v>
      </c>
      <c r="P5" s="9" t="n">
        <v>3</v>
      </c>
      <c r="Q5" s="9" t="n">
        <v>3</v>
      </c>
      <c r="R5" s="9" t="n">
        <v>3</v>
      </c>
      <c r="S5" s="9" t="n">
        <v>3</v>
      </c>
      <c r="T5" s="9" t="n">
        <v>4</v>
      </c>
      <c r="U5" s="9" t="n">
        <v>4</v>
      </c>
      <c r="V5" s="9" t="n">
        <v>4</v>
      </c>
      <c r="W5" s="9" t="n">
        <v>4</v>
      </c>
      <c r="X5" s="9" t="n">
        <v>4</v>
      </c>
      <c r="Y5" s="9" t="n">
        <v>4</v>
      </c>
    </row>
    <row r="6">
      <c r="A6" s="14" t="inlineStr">
        <is>
          <t>Average price per package</t>
        </is>
      </c>
      <c r="B6" s="11">
        <f>Assumptions!$C$18</f>
        <v/>
      </c>
      <c r="C6" s="11">
        <f>Assumptions!$C$18</f>
        <v/>
      </c>
      <c r="D6" s="11">
        <f>Assumptions!$C$18</f>
        <v/>
      </c>
      <c r="E6" s="11">
        <f>Assumptions!$C$18</f>
        <v/>
      </c>
      <c r="F6" s="11">
        <f>Assumptions!$C$18</f>
        <v/>
      </c>
      <c r="G6" s="11">
        <f>Assumptions!$C$18</f>
        <v/>
      </c>
      <c r="H6" s="11">
        <f>Assumptions!$C$18</f>
        <v/>
      </c>
      <c r="I6" s="11">
        <f>Assumptions!$C$18</f>
        <v/>
      </c>
      <c r="J6" s="11">
        <f>Assumptions!$C$18</f>
        <v/>
      </c>
      <c r="K6" s="11">
        <f>Assumptions!$C$18</f>
        <v/>
      </c>
      <c r="L6" s="11">
        <f>Assumptions!$C$18</f>
        <v/>
      </c>
      <c r="M6" s="11">
        <f>Assumptions!$C$18</f>
        <v/>
      </c>
      <c r="N6" s="11">
        <f>Assumptions!$C$18</f>
        <v/>
      </c>
      <c r="O6" s="11">
        <f>Assumptions!$C$18</f>
        <v/>
      </c>
      <c r="P6" s="11">
        <f>Assumptions!$C$18</f>
        <v/>
      </c>
      <c r="Q6" s="11">
        <f>Assumptions!$C$18</f>
        <v/>
      </c>
      <c r="R6" s="11">
        <f>Assumptions!$C$18</f>
        <v/>
      </c>
      <c r="S6" s="11">
        <f>Assumptions!$C$18</f>
        <v/>
      </c>
      <c r="T6" s="11">
        <f>Assumptions!$C$18</f>
        <v/>
      </c>
      <c r="U6" s="11">
        <f>Assumptions!$C$18</f>
        <v/>
      </c>
      <c r="V6" s="11">
        <f>Assumptions!$C$18</f>
        <v/>
      </c>
      <c r="W6" s="11">
        <f>Assumptions!$C$18</f>
        <v/>
      </c>
      <c r="X6" s="11">
        <f>Assumptions!$C$18</f>
        <v/>
      </c>
      <c r="Y6" s="11">
        <f>Assumptions!$C$18</f>
        <v/>
      </c>
    </row>
    <row r="7">
      <c r="A7" s="15" t="inlineStr">
        <is>
          <t>Gross booked sales</t>
        </is>
      </c>
      <c r="B7" s="11">
        <f>B5*B6</f>
        <v/>
      </c>
      <c r="C7" s="11">
        <f>C5*C6</f>
        <v/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J7" s="11">
        <f>J5*J6</f>
        <v/>
      </c>
      <c r="K7" s="11">
        <f>K5*K6</f>
        <v/>
      </c>
      <c r="L7" s="11">
        <f>L5*L6</f>
        <v/>
      </c>
      <c r="M7" s="11">
        <f>M5*M6</f>
        <v/>
      </c>
      <c r="N7" s="11">
        <f>N5*N6</f>
        <v/>
      </c>
      <c r="O7" s="11">
        <f>O5*O6</f>
        <v/>
      </c>
      <c r="P7" s="11">
        <f>P5*P6</f>
        <v/>
      </c>
      <c r="Q7" s="11">
        <f>Q5*Q6</f>
        <v/>
      </c>
      <c r="R7" s="11">
        <f>R5*R6</f>
        <v/>
      </c>
      <c r="S7" s="11">
        <f>S5*S6</f>
        <v/>
      </c>
      <c r="T7" s="11">
        <f>T5*T6</f>
        <v/>
      </c>
      <c r="U7" s="11">
        <f>U5*U6</f>
        <v/>
      </c>
      <c r="V7" s="11">
        <f>V5*V6</f>
        <v/>
      </c>
      <c r="W7" s="11">
        <f>W5*W6</f>
        <v/>
      </c>
      <c r="X7" s="11">
        <f>X5*X6</f>
        <v/>
      </c>
      <c r="Y7" s="11">
        <f>Y5*Y6</f>
        <v/>
      </c>
    </row>
    <row r="8">
      <c r="A8" s="14" t="inlineStr">
        <is>
          <t>Deposit cash collected</t>
        </is>
      </c>
      <c r="B8" s="11">
        <f>B7*Assumptions!$C$19</f>
        <v/>
      </c>
      <c r="C8" s="11">
        <f>C7*Assumptions!$C$19</f>
        <v/>
      </c>
      <c r="D8" s="11">
        <f>D7*Assumptions!$C$19</f>
        <v/>
      </c>
      <c r="E8" s="11">
        <f>E7*Assumptions!$C$19</f>
        <v/>
      </c>
      <c r="F8" s="11">
        <f>F7*Assumptions!$C$19</f>
        <v/>
      </c>
      <c r="G8" s="11">
        <f>G7*Assumptions!$C$19</f>
        <v/>
      </c>
      <c r="H8" s="11">
        <f>H7*Assumptions!$C$19</f>
        <v/>
      </c>
      <c r="I8" s="11">
        <f>I7*Assumptions!$C$19</f>
        <v/>
      </c>
      <c r="J8" s="11">
        <f>J7*Assumptions!$C$19</f>
        <v/>
      </c>
      <c r="K8" s="11">
        <f>K7*Assumptions!$C$19</f>
        <v/>
      </c>
      <c r="L8" s="11">
        <f>L7*Assumptions!$C$19</f>
        <v/>
      </c>
      <c r="M8" s="11">
        <f>M7*Assumptions!$C$19</f>
        <v/>
      </c>
      <c r="N8" s="11">
        <f>N7*Assumptions!$C$19</f>
        <v/>
      </c>
      <c r="O8" s="11">
        <f>O7*Assumptions!$C$19</f>
        <v/>
      </c>
      <c r="P8" s="11">
        <f>P7*Assumptions!$C$19</f>
        <v/>
      </c>
      <c r="Q8" s="11">
        <f>Q7*Assumptions!$C$19</f>
        <v/>
      </c>
      <c r="R8" s="11">
        <f>R7*Assumptions!$C$19</f>
        <v/>
      </c>
      <c r="S8" s="11">
        <f>S7*Assumptions!$C$19</f>
        <v/>
      </c>
      <c r="T8" s="11">
        <f>T7*Assumptions!$C$19</f>
        <v/>
      </c>
      <c r="U8" s="11">
        <f>U7*Assumptions!$C$19</f>
        <v/>
      </c>
      <c r="V8" s="11">
        <f>V7*Assumptions!$C$19</f>
        <v/>
      </c>
      <c r="W8" s="11">
        <f>W7*Assumptions!$C$19</f>
        <v/>
      </c>
      <c r="X8" s="11">
        <f>X7*Assumptions!$C$19</f>
        <v/>
      </c>
      <c r="Y8" s="11">
        <f>Y7*Assumptions!$C$19</f>
        <v/>
      </c>
    </row>
    <row r="9">
      <c r="A9" s="14" t="inlineStr">
        <is>
          <t>Final cash collected from prior packages</t>
        </is>
      </c>
      <c r="B9" s="11" t="n">
        <v>0</v>
      </c>
      <c r="C9" s="11">
        <f>B7*(1-Assumptions!$C$19)</f>
        <v/>
      </c>
      <c r="D9" s="11">
        <f>C7*(1-Assumptions!$C$19)</f>
        <v/>
      </c>
      <c r="E9" s="11">
        <f>D7*(1-Assumptions!$C$19)</f>
        <v/>
      </c>
      <c r="F9" s="11">
        <f>E7*(1-Assumptions!$C$19)</f>
        <v/>
      </c>
      <c r="G9" s="11">
        <f>F7*(1-Assumptions!$C$19)</f>
        <v/>
      </c>
      <c r="H9" s="11">
        <f>G7*(1-Assumptions!$C$19)</f>
        <v/>
      </c>
      <c r="I9" s="11">
        <f>H7*(1-Assumptions!$C$19)</f>
        <v/>
      </c>
      <c r="J9" s="11">
        <f>I7*(1-Assumptions!$C$19)</f>
        <v/>
      </c>
      <c r="K9" s="11">
        <f>J7*(1-Assumptions!$C$19)</f>
        <v/>
      </c>
      <c r="L9" s="11">
        <f>K7*(1-Assumptions!$C$19)</f>
        <v/>
      </c>
      <c r="M9" s="11">
        <f>L7*(1-Assumptions!$C$19)</f>
        <v/>
      </c>
      <c r="N9" s="11">
        <f>M7*(1-Assumptions!$C$19)</f>
        <v/>
      </c>
      <c r="O9" s="11">
        <f>N7*(1-Assumptions!$C$19)</f>
        <v/>
      </c>
      <c r="P9" s="11">
        <f>O7*(1-Assumptions!$C$19)</f>
        <v/>
      </c>
      <c r="Q9" s="11">
        <f>P7*(1-Assumptions!$C$19)</f>
        <v/>
      </c>
      <c r="R9" s="11">
        <f>Q7*(1-Assumptions!$C$19)</f>
        <v/>
      </c>
      <c r="S9" s="11">
        <f>R7*(1-Assumptions!$C$19)</f>
        <v/>
      </c>
      <c r="T9" s="11">
        <f>S7*(1-Assumptions!$C$19)</f>
        <v/>
      </c>
      <c r="U9" s="11">
        <f>T7*(1-Assumptions!$C$19)</f>
        <v/>
      </c>
      <c r="V9" s="11">
        <f>U7*(1-Assumptions!$C$19)</f>
        <v/>
      </c>
      <c r="W9" s="11">
        <f>V7*(1-Assumptions!$C$19)</f>
        <v/>
      </c>
      <c r="X9" s="11">
        <f>W7*(1-Assumptions!$C$19)</f>
        <v/>
      </c>
      <c r="Y9" s="11">
        <f>X7*(1-Assumptions!$C$19)</f>
        <v/>
      </c>
    </row>
    <row r="10">
      <c r="A10" s="15" t="inlineStr">
        <is>
          <t>Total customer cash collected</t>
        </is>
      </c>
      <c r="B10" s="11">
        <f>B8+B9</f>
        <v/>
      </c>
      <c r="C10" s="11">
        <f>C8+C9</f>
        <v/>
      </c>
      <c r="D10" s="11">
        <f>D8+D9</f>
        <v/>
      </c>
      <c r="E10" s="11">
        <f>E8+E9</f>
        <v/>
      </c>
      <c r="F10" s="11">
        <f>F8+F9</f>
        <v/>
      </c>
      <c r="G10" s="11">
        <f>G8+G9</f>
        <v/>
      </c>
      <c r="H10" s="11">
        <f>H8+H9</f>
        <v/>
      </c>
      <c r="I10" s="11">
        <f>I8+I9</f>
        <v/>
      </c>
      <c r="J10" s="11">
        <f>J8+J9</f>
        <v/>
      </c>
      <c r="K10" s="11">
        <f>K8+K9</f>
        <v/>
      </c>
      <c r="L10" s="11">
        <f>L8+L9</f>
        <v/>
      </c>
      <c r="M10" s="11">
        <f>M8+M9</f>
        <v/>
      </c>
      <c r="N10" s="11">
        <f>N8+N9</f>
        <v/>
      </c>
      <c r="O10" s="11">
        <f>O8+O9</f>
        <v/>
      </c>
      <c r="P10" s="11">
        <f>P8+P9</f>
        <v/>
      </c>
      <c r="Q10" s="11">
        <f>Q8+Q9</f>
        <v/>
      </c>
      <c r="R10" s="11">
        <f>R8+R9</f>
        <v/>
      </c>
      <c r="S10" s="11">
        <f>S8+S9</f>
        <v/>
      </c>
      <c r="T10" s="11">
        <f>T8+T9</f>
        <v/>
      </c>
      <c r="U10" s="11">
        <f>U8+U9</f>
        <v/>
      </c>
      <c r="V10" s="11">
        <f>V8+V9</f>
        <v/>
      </c>
      <c r="W10" s="11">
        <f>W8+W9</f>
        <v/>
      </c>
      <c r="X10" s="11">
        <f>X8+X9</f>
        <v/>
      </c>
      <c r="Y10" s="11">
        <f>Y8+Y9</f>
        <v/>
      </c>
    </row>
    <row r="11">
      <c r="A11" s="14" t="inlineStr">
        <is>
          <t>Direct project cost</t>
        </is>
      </c>
      <c r="B11" s="11">
        <f>B10*Assumptions!$C$21</f>
        <v/>
      </c>
      <c r="C11" s="11">
        <f>C10*Assumptions!$C$21</f>
        <v/>
      </c>
      <c r="D11" s="11">
        <f>D10*Assumptions!$C$21</f>
        <v/>
      </c>
      <c r="E11" s="11">
        <f>E10*Assumptions!$C$21</f>
        <v/>
      </c>
      <c r="F11" s="11">
        <f>F10*Assumptions!$C$21</f>
        <v/>
      </c>
      <c r="G11" s="11">
        <f>G10*Assumptions!$C$21</f>
        <v/>
      </c>
      <c r="H11" s="11">
        <f>H10*Assumptions!$C$21</f>
        <v/>
      </c>
      <c r="I11" s="11">
        <f>I10*Assumptions!$C$21</f>
        <v/>
      </c>
      <c r="J11" s="11">
        <f>J10*Assumptions!$C$21</f>
        <v/>
      </c>
      <c r="K11" s="11">
        <f>K10*Assumptions!$C$21</f>
        <v/>
      </c>
      <c r="L11" s="11">
        <f>L10*Assumptions!$C$21</f>
        <v/>
      </c>
      <c r="M11" s="11">
        <f>M10*Assumptions!$C$21</f>
        <v/>
      </c>
      <c r="N11" s="11">
        <f>N10*Assumptions!$C$21</f>
        <v/>
      </c>
      <c r="O11" s="11">
        <f>O10*Assumptions!$C$21</f>
        <v/>
      </c>
      <c r="P11" s="11">
        <f>P10*Assumptions!$C$21</f>
        <v/>
      </c>
      <c r="Q11" s="11">
        <f>Q10*Assumptions!$C$21</f>
        <v/>
      </c>
      <c r="R11" s="11">
        <f>R10*Assumptions!$C$21</f>
        <v/>
      </c>
      <c r="S11" s="11">
        <f>S10*Assumptions!$C$21</f>
        <v/>
      </c>
      <c r="T11" s="11">
        <f>T10*Assumptions!$C$21</f>
        <v/>
      </c>
      <c r="U11" s="11">
        <f>U10*Assumptions!$C$21</f>
        <v/>
      </c>
      <c r="V11" s="11">
        <f>V10*Assumptions!$C$21</f>
        <v/>
      </c>
      <c r="W11" s="11">
        <f>W10*Assumptions!$C$21</f>
        <v/>
      </c>
      <c r="X11" s="11">
        <f>X10*Assumptions!$C$21</f>
        <v/>
      </c>
      <c r="Y11" s="11">
        <f>Y10*Assumptions!$C$21</f>
        <v/>
      </c>
    </row>
    <row r="12">
      <c r="A12" s="15" t="inlineStr">
        <is>
          <t>Gross contribution before operating costs</t>
        </is>
      </c>
      <c r="B12" s="11">
        <f>B10-B11</f>
        <v/>
      </c>
      <c r="C12" s="11">
        <f>C10-C11</f>
        <v/>
      </c>
      <c r="D12" s="11">
        <f>D10-D11</f>
        <v/>
      </c>
      <c r="E12" s="11">
        <f>E10-E11</f>
        <v/>
      </c>
      <c r="F12" s="11">
        <f>F10-F11</f>
        <v/>
      </c>
      <c r="G12" s="11">
        <f>G10-G11</f>
        <v/>
      </c>
      <c r="H12" s="11">
        <f>H10-H11</f>
        <v/>
      </c>
      <c r="I12" s="11">
        <f>I10-I11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</row>
    <row r="13">
      <c r="A13" s="14" t="inlineStr">
        <is>
          <t>Evidence status</t>
        </is>
      </c>
      <c r="B13" s="4" t="inlineStr">
        <is>
          <t>Planning assumption—replace with pipeline evidence</t>
        </is>
      </c>
      <c r="C13" s="4" t="inlineStr">
        <is>
          <t>Planning assumption—replace with pipeline evidence</t>
        </is>
      </c>
      <c r="D13" s="4" t="inlineStr">
        <is>
          <t>Planning assumption—replace with pipeline evidence</t>
        </is>
      </c>
      <c r="E13" s="4" t="inlineStr">
        <is>
          <t>Planning assumption—replace with pipeline evidence</t>
        </is>
      </c>
      <c r="F13" s="4" t="inlineStr">
        <is>
          <t>Planning assumption—replace with pipeline evidence</t>
        </is>
      </c>
      <c r="G13" s="4" t="inlineStr">
        <is>
          <t>Planning assumption—replace with pipeline evidence</t>
        </is>
      </c>
      <c r="H13" s="4" t="inlineStr">
        <is>
          <t>Planning assumption—replace with pipeline evidence</t>
        </is>
      </c>
      <c r="I13" s="4" t="inlineStr">
        <is>
          <t>Planning assumption—replace with pipeline evidence</t>
        </is>
      </c>
      <c r="J13" s="4" t="inlineStr">
        <is>
          <t>Planning assumption—replace with pipeline evidence</t>
        </is>
      </c>
      <c r="K13" s="4" t="inlineStr">
        <is>
          <t>Planning assumption—replace with pipeline evidence</t>
        </is>
      </c>
      <c r="L13" s="4" t="inlineStr">
        <is>
          <t>Planning assumption—replace with pipeline evidence</t>
        </is>
      </c>
      <c r="M13" s="4" t="inlineStr">
        <is>
          <t>Planning assumption—replace with pipeline evidence</t>
        </is>
      </c>
      <c r="N13" s="4" t="inlineStr">
        <is>
          <t>Planning assumption—replace with pipeline evidence</t>
        </is>
      </c>
      <c r="O13" s="4" t="inlineStr">
        <is>
          <t>Planning assumption—replace with pipeline evidence</t>
        </is>
      </c>
      <c r="P13" s="4" t="inlineStr">
        <is>
          <t>Planning assumption—replace with pipeline evidence</t>
        </is>
      </c>
      <c r="Q13" s="4" t="inlineStr">
        <is>
          <t>Planning assumption—replace with pipeline evidence</t>
        </is>
      </c>
      <c r="R13" s="4" t="inlineStr">
        <is>
          <t>Planning assumption—replace with pipeline evidence</t>
        </is>
      </c>
      <c r="S13" s="4" t="inlineStr">
        <is>
          <t>Planning assumption—replace with pipeline evidence</t>
        </is>
      </c>
      <c r="T13" s="4" t="inlineStr">
        <is>
          <t>Planning assumption—replace with pipeline evidence</t>
        </is>
      </c>
      <c r="U13" s="4" t="inlineStr">
        <is>
          <t>Planning assumption—replace with pipeline evidence</t>
        </is>
      </c>
      <c r="V13" s="4" t="inlineStr">
        <is>
          <t>Planning assumption—replace with pipeline evidence</t>
        </is>
      </c>
      <c r="W13" s="4" t="inlineStr">
        <is>
          <t>Planning assumption—replace with pipeline evidence</t>
        </is>
      </c>
      <c r="X13" s="4" t="inlineStr">
        <is>
          <t>Planning assumption—replace with pipeline evidence</t>
        </is>
      </c>
      <c r="Y13" s="4" t="inlineStr">
        <is>
          <t>Planning assumption—replace with pipeline evidence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8" customHeight="1">
      <c r="A1" s="1" t="inlineStr">
        <is>
          <t>Cash Flow $25k</t>
        </is>
      </c>
    </row>
    <row r="2" ht="35" customHeight="1">
      <c r="A2" s="2" t="inlineStr">
        <is>
          <t>Pre-revenue, local-business-package starter scenario. Loan proceeds are illustrative only. Customer cash comes solely from the Local-Business Sales Ramp planning assumptions.</t>
        </is>
      </c>
    </row>
    <row r="3"/>
    <row r="4" ht="30" customHeight="1">
      <c r="A4" s="3" t="inlineStr">
        <is>
          <t>Cash-flow line</t>
        </is>
      </c>
      <c r="B4" s="3" t="inlineStr">
        <is>
          <t>Sep-26</t>
        </is>
      </c>
      <c r="C4" s="3" t="inlineStr">
        <is>
          <t>Oct-26</t>
        </is>
      </c>
      <c r="D4" s="3" t="inlineStr">
        <is>
          <t>Nov-26</t>
        </is>
      </c>
      <c r="E4" s="3" t="inlineStr">
        <is>
          <t>Dec-26</t>
        </is>
      </c>
      <c r="F4" s="3" t="inlineStr">
        <is>
          <t>Jan-27</t>
        </is>
      </c>
      <c r="G4" s="3" t="inlineStr">
        <is>
          <t>Feb-27</t>
        </is>
      </c>
      <c r="H4" s="3" t="inlineStr">
        <is>
          <t>Mar-27</t>
        </is>
      </c>
      <c r="I4" s="3" t="inlineStr">
        <is>
          <t>Apr-27</t>
        </is>
      </c>
      <c r="J4" s="3" t="inlineStr">
        <is>
          <t>May-27</t>
        </is>
      </c>
      <c r="K4" s="3" t="inlineStr">
        <is>
          <t>Jun-27</t>
        </is>
      </c>
      <c r="L4" s="3" t="inlineStr">
        <is>
          <t>Jul-27</t>
        </is>
      </c>
      <c r="M4" s="3" t="inlineStr">
        <is>
          <t>Aug-27</t>
        </is>
      </c>
      <c r="N4" s="3" t="inlineStr">
        <is>
          <t>Sep-27</t>
        </is>
      </c>
      <c r="O4" s="3" t="inlineStr">
        <is>
          <t>Oct-27</t>
        </is>
      </c>
      <c r="P4" s="3" t="inlineStr">
        <is>
          <t>Nov-27</t>
        </is>
      </c>
      <c r="Q4" s="3" t="inlineStr">
        <is>
          <t>Dec-27</t>
        </is>
      </c>
      <c r="R4" s="3" t="inlineStr">
        <is>
          <t>Jan-28</t>
        </is>
      </c>
      <c r="S4" s="3" t="inlineStr">
        <is>
          <t>Feb-28</t>
        </is>
      </c>
      <c r="T4" s="3" t="inlineStr">
        <is>
          <t>Mar-28</t>
        </is>
      </c>
      <c r="U4" s="3" t="inlineStr">
        <is>
          <t>Apr-28</t>
        </is>
      </c>
      <c r="V4" s="3" t="inlineStr">
        <is>
          <t>May-28</t>
        </is>
      </c>
      <c r="W4" s="3" t="inlineStr">
        <is>
          <t>Jun-28</t>
        </is>
      </c>
      <c r="X4" s="3" t="inlineStr">
        <is>
          <t>Jul-28</t>
        </is>
      </c>
      <c r="Y4" s="3" t="inlineStr">
        <is>
          <t>Aug-28</t>
        </is>
      </c>
    </row>
    <row r="5">
      <c r="A5" s="14" t="inlineStr">
        <is>
          <t>Beginning cash</t>
        </is>
      </c>
      <c r="B5" s="11">
        <f>Assumptions!$C$6</f>
        <v/>
      </c>
      <c r="C5" s="11">
        <f>B24</f>
        <v/>
      </c>
      <c r="D5" s="11">
        <f>C24</f>
        <v/>
      </c>
      <c r="E5" s="11">
        <f>D24</f>
        <v/>
      </c>
      <c r="F5" s="11">
        <f>E24</f>
        <v/>
      </c>
      <c r="G5" s="11">
        <f>F24</f>
        <v/>
      </c>
      <c r="H5" s="11">
        <f>G24</f>
        <v/>
      </c>
      <c r="I5" s="11">
        <f>H24</f>
        <v/>
      </c>
      <c r="J5" s="11">
        <f>I24</f>
        <v/>
      </c>
      <c r="K5" s="11">
        <f>J24</f>
        <v/>
      </c>
      <c r="L5" s="11">
        <f>K24</f>
        <v/>
      </c>
      <c r="M5" s="11">
        <f>L24</f>
        <v/>
      </c>
      <c r="N5" s="11">
        <f>M24</f>
        <v/>
      </c>
      <c r="O5" s="11">
        <f>N24</f>
        <v/>
      </c>
      <c r="P5" s="11">
        <f>O24</f>
        <v/>
      </c>
      <c r="Q5" s="11">
        <f>P24</f>
        <v/>
      </c>
      <c r="R5" s="11">
        <f>Q24</f>
        <v/>
      </c>
      <c r="S5" s="11">
        <f>R24</f>
        <v/>
      </c>
      <c r="T5" s="11">
        <f>S24</f>
        <v/>
      </c>
      <c r="U5" s="11">
        <f>T24</f>
        <v/>
      </c>
      <c r="V5" s="11">
        <f>U24</f>
        <v/>
      </c>
      <c r="W5" s="11">
        <f>V24</f>
        <v/>
      </c>
      <c r="X5" s="11">
        <f>W24</f>
        <v/>
      </c>
      <c r="Y5" s="11">
        <f>X24</f>
        <v/>
      </c>
    </row>
    <row r="6">
      <c r="A6" s="14" t="inlineStr">
        <is>
          <t>Illustrative funding proceeds</t>
        </is>
      </c>
      <c r="B6" s="11" t="n">
        <v>25000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</row>
    <row r="7">
      <c r="A7" s="14" t="inlineStr">
        <is>
          <t>Owner contribution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</row>
    <row r="8">
      <c r="A8" s="14" t="inlineStr">
        <is>
          <t>Customer deposits collected</t>
        </is>
      </c>
      <c r="B8" s="11">
        <f>'Local Business Sales'!B8</f>
        <v/>
      </c>
      <c r="C8" s="11">
        <f>'Local Business Sales'!C8</f>
        <v/>
      </c>
      <c r="D8" s="11">
        <f>'Local Business Sales'!D8</f>
        <v/>
      </c>
      <c r="E8" s="11">
        <f>'Local Business Sales'!E8</f>
        <v/>
      </c>
      <c r="F8" s="11">
        <f>'Local Business Sales'!F8</f>
        <v/>
      </c>
      <c r="G8" s="11">
        <f>'Local Business Sales'!G8</f>
        <v/>
      </c>
      <c r="H8" s="11">
        <f>'Local Business Sales'!H8</f>
        <v/>
      </c>
      <c r="I8" s="11">
        <f>'Local Business Sales'!I8</f>
        <v/>
      </c>
      <c r="J8" s="11">
        <f>'Local Business Sales'!J8</f>
        <v/>
      </c>
      <c r="K8" s="11">
        <f>'Local Business Sales'!K8</f>
        <v/>
      </c>
      <c r="L8" s="11">
        <f>'Local Business Sales'!L8</f>
        <v/>
      </c>
      <c r="M8" s="11">
        <f>'Local Business Sales'!M8</f>
        <v/>
      </c>
      <c r="N8" s="11">
        <f>'Local Business Sales'!N8</f>
        <v/>
      </c>
      <c r="O8" s="11">
        <f>'Local Business Sales'!O8</f>
        <v/>
      </c>
      <c r="P8" s="11">
        <f>'Local Business Sales'!P8</f>
        <v/>
      </c>
      <c r="Q8" s="11">
        <f>'Local Business Sales'!Q8</f>
        <v/>
      </c>
      <c r="R8" s="11">
        <f>'Local Business Sales'!R8</f>
        <v/>
      </c>
      <c r="S8" s="11">
        <f>'Local Business Sales'!S8</f>
        <v/>
      </c>
      <c r="T8" s="11">
        <f>'Local Business Sales'!T8</f>
        <v/>
      </c>
      <c r="U8" s="11">
        <f>'Local Business Sales'!U8</f>
        <v/>
      </c>
      <c r="V8" s="11">
        <f>'Local Business Sales'!V8</f>
        <v/>
      </c>
      <c r="W8" s="11">
        <f>'Local Business Sales'!W8</f>
        <v/>
      </c>
      <c r="X8" s="11">
        <f>'Local Business Sales'!X8</f>
        <v/>
      </c>
      <c r="Y8" s="11">
        <f>'Local Business Sales'!Y8</f>
        <v/>
      </c>
    </row>
    <row r="9">
      <c r="A9" s="14" t="inlineStr">
        <is>
          <t>Customer final collections</t>
        </is>
      </c>
      <c r="B9" s="11">
        <f>'Local Business Sales'!B9</f>
        <v/>
      </c>
      <c r="C9" s="11">
        <f>'Local Business Sales'!C9</f>
        <v/>
      </c>
      <c r="D9" s="11">
        <f>'Local Business Sales'!D9</f>
        <v/>
      </c>
      <c r="E9" s="11">
        <f>'Local Business Sales'!E9</f>
        <v/>
      </c>
      <c r="F9" s="11">
        <f>'Local Business Sales'!F9</f>
        <v/>
      </c>
      <c r="G9" s="11">
        <f>'Local Business Sales'!G9</f>
        <v/>
      </c>
      <c r="H9" s="11">
        <f>'Local Business Sales'!H9</f>
        <v/>
      </c>
      <c r="I9" s="11">
        <f>'Local Business Sales'!I9</f>
        <v/>
      </c>
      <c r="J9" s="11">
        <f>'Local Business Sales'!J9</f>
        <v/>
      </c>
      <c r="K9" s="11">
        <f>'Local Business Sales'!K9</f>
        <v/>
      </c>
      <c r="L9" s="11">
        <f>'Local Business Sales'!L9</f>
        <v/>
      </c>
      <c r="M9" s="11">
        <f>'Local Business Sales'!M9</f>
        <v/>
      </c>
      <c r="N9" s="11">
        <f>'Local Business Sales'!N9</f>
        <v/>
      </c>
      <c r="O9" s="11">
        <f>'Local Business Sales'!O9</f>
        <v/>
      </c>
      <c r="P9" s="11">
        <f>'Local Business Sales'!P9</f>
        <v/>
      </c>
      <c r="Q9" s="11">
        <f>'Local Business Sales'!Q9</f>
        <v/>
      </c>
      <c r="R9" s="11">
        <f>'Local Business Sales'!R9</f>
        <v/>
      </c>
      <c r="S9" s="11">
        <f>'Local Business Sales'!S9</f>
        <v/>
      </c>
      <c r="T9" s="11">
        <f>'Local Business Sales'!T9</f>
        <v/>
      </c>
      <c r="U9" s="11">
        <f>'Local Business Sales'!U9</f>
        <v/>
      </c>
      <c r="V9" s="11">
        <f>'Local Business Sales'!V9</f>
        <v/>
      </c>
      <c r="W9" s="11">
        <f>'Local Business Sales'!W9</f>
        <v/>
      </c>
      <c r="X9" s="11">
        <f>'Local Business Sales'!X9</f>
        <v/>
      </c>
      <c r="Y9" s="11">
        <f>'Local Business Sales'!Y9</f>
        <v/>
      </c>
    </row>
    <row r="10">
      <c r="A10" s="15" t="inlineStr">
        <is>
          <t>Total cash inflows</t>
        </is>
      </c>
      <c r="B10" s="11">
        <f>SUM(B6:B9)</f>
        <v/>
      </c>
      <c r="C10" s="11">
        <f>SUM(C6:C9)</f>
        <v/>
      </c>
      <c r="D10" s="11">
        <f>SUM(D6:D9)</f>
        <v/>
      </c>
      <c r="E10" s="11">
        <f>SUM(E6:E9)</f>
        <v/>
      </c>
      <c r="F10" s="11">
        <f>SUM(F6:F9)</f>
        <v/>
      </c>
      <c r="G10" s="11">
        <f>SUM(G6:G9)</f>
        <v/>
      </c>
      <c r="H10" s="11">
        <f>SUM(H6:H9)</f>
        <v/>
      </c>
      <c r="I10" s="11">
        <f>SUM(I6:I9)</f>
        <v/>
      </c>
      <c r="J10" s="11">
        <f>SUM(J6:J9)</f>
        <v/>
      </c>
      <c r="K10" s="11">
        <f>SUM(K6:K9)</f>
        <v/>
      </c>
      <c r="L10" s="11">
        <f>SUM(L6:L9)</f>
        <v/>
      </c>
      <c r="M10" s="11">
        <f>SUM(M6:M9)</f>
        <v/>
      </c>
      <c r="N10" s="11">
        <f>SUM(N6:N9)</f>
        <v/>
      </c>
      <c r="O10" s="11">
        <f>SUM(O6:O9)</f>
        <v/>
      </c>
      <c r="P10" s="11">
        <f>SUM(P6:P9)</f>
        <v/>
      </c>
      <c r="Q10" s="11">
        <f>SUM(Q6:Q9)</f>
        <v/>
      </c>
      <c r="R10" s="11">
        <f>SUM(R6:R9)</f>
        <v/>
      </c>
      <c r="S10" s="11">
        <f>SUM(S6:S9)</f>
        <v/>
      </c>
      <c r="T10" s="11">
        <f>SUM(T6:T9)</f>
        <v/>
      </c>
      <c r="U10" s="11">
        <f>SUM(U6:U9)</f>
        <v/>
      </c>
      <c r="V10" s="11">
        <f>SUM(V6:V9)</f>
        <v/>
      </c>
      <c r="W10" s="11">
        <f>SUM(W6:W9)</f>
        <v/>
      </c>
      <c r="X10" s="11">
        <f>SUM(X6:X9)</f>
        <v/>
      </c>
      <c r="Y10" s="11">
        <f>SUM(Y6:Y9)</f>
        <v/>
      </c>
    </row>
    <row r="11">
      <c r="A11" s="14" t="inlineStr">
        <is>
          <t>Direct project costs</t>
        </is>
      </c>
      <c r="B11" s="11">
        <f>'Local Business Sales'!B11</f>
        <v/>
      </c>
      <c r="C11" s="11">
        <f>'Local Business Sales'!C11</f>
        <v/>
      </c>
      <c r="D11" s="11">
        <f>'Local Business Sales'!D11</f>
        <v/>
      </c>
      <c r="E11" s="11">
        <f>'Local Business Sales'!E11</f>
        <v/>
      </c>
      <c r="F11" s="11">
        <f>'Local Business Sales'!F11</f>
        <v/>
      </c>
      <c r="G11" s="11">
        <f>'Local Business Sales'!G11</f>
        <v/>
      </c>
      <c r="H11" s="11">
        <f>'Local Business Sales'!H11</f>
        <v/>
      </c>
      <c r="I11" s="11">
        <f>'Local Business Sales'!I11</f>
        <v/>
      </c>
      <c r="J11" s="11">
        <f>'Local Business Sales'!J11</f>
        <v/>
      </c>
      <c r="K11" s="11">
        <f>'Local Business Sales'!K11</f>
        <v/>
      </c>
      <c r="L11" s="11">
        <f>'Local Business Sales'!L11</f>
        <v/>
      </c>
      <c r="M11" s="11">
        <f>'Local Business Sales'!M11</f>
        <v/>
      </c>
      <c r="N11" s="11">
        <f>'Local Business Sales'!N11</f>
        <v/>
      </c>
      <c r="O11" s="11">
        <f>'Local Business Sales'!O11</f>
        <v/>
      </c>
      <c r="P11" s="11">
        <f>'Local Business Sales'!P11</f>
        <v/>
      </c>
      <c r="Q11" s="11">
        <f>'Local Business Sales'!Q11</f>
        <v/>
      </c>
      <c r="R11" s="11">
        <f>'Local Business Sales'!R11</f>
        <v/>
      </c>
      <c r="S11" s="11">
        <f>'Local Business Sales'!S11</f>
        <v/>
      </c>
      <c r="T11" s="11">
        <f>'Local Business Sales'!T11</f>
        <v/>
      </c>
      <c r="U11" s="11">
        <f>'Local Business Sales'!U11</f>
        <v/>
      </c>
      <c r="V11" s="11">
        <f>'Local Business Sales'!V11</f>
        <v/>
      </c>
      <c r="W11" s="11">
        <f>'Local Business Sales'!W11</f>
        <v/>
      </c>
      <c r="X11" s="11">
        <f>'Local Business Sales'!X11</f>
        <v/>
      </c>
      <c r="Y11" s="11">
        <f>'Local Business Sales'!Y11</f>
        <v/>
      </c>
    </row>
    <row r="12">
      <c r="A12" s="14" t="inlineStr">
        <is>
          <t>Founder payroll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</row>
    <row r="13">
      <c r="A13" s="14" t="inlineStr">
        <is>
          <t>Legal services</t>
        </is>
      </c>
      <c r="B13" s="11">
        <f>Assumptions!$C$24</f>
        <v/>
      </c>
      <c r="C13" s="11" t="n">
        <v>0</v>
      </c>
      <c r="D13" s="11" t="n">
        <v>0</v>
      </c>
      <c r="E13" s="11">
        <f>Assumptions!$C$24</f>
        <v/>
      </c>
      <c r="F13" s="11" t="n">
        <v>0</v>
      </c>
      <c r="G13" s="11" t="n">
        <v>0</v>
      </c>
      <c r="H13" s="11">
        <f>Assumptions!$C$24</f>
        <v/>
      </c>
      <c r="I13" s="11" t="n">
        <v>0</v>
      </c>
      <c r="J13" s="11" t="n">
        <v>0</v>
      </c>
      <c r="K13" s="11">
        <f>Assumptions!$C$24</f>
        <v/>
      </c>
      <c r="L13" s="11" t="n">
        <v>0</v>
      </c>
      <c r="M13" s="11" t="n">
        <v>0</v>
      </c>
      <c r="N13" s="11">
        <f>Assumptions!$C$24</f>
        <v/>
      </c>
      <c r="O13" s="11" t="n">
        <v>0</v>
      </c>
      <c r="P13" s="11" t="n">
        <v>0</v>
      </c>
      <c r="Q13" s="11">
        <f>Assumptions!$C$24</f>
        <v/>
      </c>
      <c r="R13" s="11" t="n">
        <v>0</v>
      </c>
      <c r="S13" s="11" t="n">
        <v>0</v>
      </c>
      <c r="T13" s="11">
        <f>Assumptions!$C$24</f>
        <v/>
      </c>
      <c r="U13" s="11" t="n">
        <v>0</v>
      </c>
      <c r="V13" s="11" t="n">
        <v>0</v>
      </c>
      <c r="W13" s="11">
        <f>Assumptions!$C$24</f>
        <v/>
      </c>
      <c r="X13" s="11" t="n">
        <v>0</v>
      </c>
      <c r="Y13" s="11" t="n">
        <v>0</v>
      </c>
    </row>
    <row r="14">
      <c r="A14" s="14" t="inlineStr">
        <is>
          <t>Minor operating overhead</t>
        </is>
      </c>
      <c r="B14" s="11">
        <f>Assumptions!$C$25</f>
        <v/>
      </c>
      <c r="C14" s="11" t="n">
        <v>0</v>
      </c>
      <c r="D14" s="11" t="n">
        <v>0</v>
      </c>
      <c r="E14" s="11">
        <f>Assumptions!$C$25</f>
        <v/>
      </c>
      <c r="F14" s="11" t="n">
        <v>0</v>
      </c>
      <c r="G14" s="11" t="n">
        <v>0</v>
      </c>
      <c r="H14" s="11">
        <f>Assumptions!$C$25</f>
        <v/>
      </c>
      <c r="I14" s="11" t="n">
        <v>0</v>
      </c>
      <c r="J14" s="11" t="n">
        <v>0</v>
      </c>
      <c r="K14" s="11">
        <f>Assumptions!$C$25</f>
        <v/>
      </c>
      <c r="L14" s="11" t="n">
        <v>0</v>
      </c>
      <c r="M14" s="11" t="n">
        <v>0</v>
      </c>
      <c r="N14" s="11">
        <f>Assumptions!$C$25</f>
        <v/>
      </c>
      <c r="O14" s="11" t="n">
        <v>0</v>
      </c>
      <c r="P14" s="11" t="n">
        <v>0</v>
      </c>
      <c r="Q14" s="11">
        <f>Assumptions!$C$25</f>
        <v/>
      </c>
      <c r="R14" s="11" t="n">
        <v>0</v>
      </c>
      <c r="S14" s="11" t="n">
        <v>0</v>
      </c>
      <c r="T14" s="11">
        <f>Assumptions!$C$25</f>
        <v/>
      </c>
      <c r="U14" s="11" t="n">
        <v>0</v>
      </c>
      <c r="V14" s="11" t="n">
        <v>0</v>
      </c>
      <c r="W14" s="11">
        <f>Assumptions!$C$25</f>
        <v/>
      </c>
      <c r="X14" s="11" t="n">
        <v>0</v>
      </c>
      <c r="Y14" s="11" t="n">
        <v>0</v>
      </c>
    </row>
    <row r="15">
      <c r="A15" s="14" t="inlineStr">
        <is>
          <t>Software/domains/storage/communications</t>
        </is>
      </c>
      <c r="B15" s="11">
        <f>Assumptions!$C$26</f>
        <v/>
      </c>
      <c r="C15" s="11">
        <f>Assumptions!$C$26</f>
        <v/>
      </c>
      <c r="D15" s="11">
        <f>Assumptions!$C$26</f>
        <v/>
      </c>
      <c r="E15" s="11">
        <f>Assumptions!$C$26</f>
        <v/>
      </c>
      <c r="F15" s="11">
        <f>Assumptions!$C$26</f>
        <v/>
      </c>
      <c r="G15" s="11">
        <f>Assumptions!$C$26</f>
        <v/>
      </c>
      <c r="H15" s="11">
        <f>Assumptions!$C$26</f>
        <v/>
      </c>
      <c r="I15" s="11">
        <f>Assumptions!$C$26</f>
        <v/>
      </c>
      <c r="J15" s="11">
        <f>Assumptions!$C$26</f>
        <v/>
      </c>
      <c r="K15" s="11">
        <f>Assumptions!$C$26</f>
        <v/>
      </c>
      <c r="L15" s="11">
        <f>Assumptions!$C$26</f>
        <v/>
      </c>
      <c r="M15" s="11">
        <f>Assumptions!$C$26</f>
        <v/>
      </c>
      <c r="N15" s="11">
        <f>Assumptions!$C$26</f>
        <v/>
      </c>
      <c r="O15" s="11">
        <f>Assumptions!$C$26</f>
        <v/>
      </c>
      <c r="P15" s="11">
        <f>Assumptions!$C$26</f>
        <v/>
      </c>
      <c r="Q15" s="11">
        <f>Assumptions!$C$26</f>
        <v/>
      </c>
      <c r="R15" s="11">
        <f>Assumptions!$C$26</f>
        <v/>
      </c>
      <c r="S15" s="11">
        <f>Assumptions!$C$26</f>
        <v/>
      </c>
      <c r="T15" s="11">
        <f>Assumptions!$C$26</f>
        <v/>
      </c>
      <c r="U15" s="11">
        <f>Assumptions!$C$26</f>
        <v/>
      </c>
      <c r="V15" s="11">
        <f>Assumptions!$C$26</f>
        <v/>
      </c>
      <c r="W15" s="11">
        <f>Assumptions!$C$26</f>
        <v/>
      </c>
      <c r="X15" s="11">
        <f>Assumptions!$C$26</f>
        <v/>
      </c>
      <c r="Y15" s="11">
        <f>Assumptions!$C$26</f>
        <v/>
      </c>
    </row>
    <row r="16">
      <c r="A16" s="14" t="inlineStr">
        <is>
          <t>Insurance</t>
        </is>
      </c>
      <c r="B16" s="11">
        <f>Assumptions!$C$27</f>
        <v/>
      </c>
      <c r="C16" s="11">
        <f>Assumptions!$C$27</f>
        <v/>
      </c>
      <c r="D16" s="11">
        <f>Assumptions!$C$27</f>
        <v/>
      </c>
      <c r="E16" s="11">
        <f>Assumptions!$C$27</f>
        <v/>
      </c>
      <c r="F16" s="11">
        <f>Assumptions!$C$27</f>
        <v/>
      </c>
      <c r="G16" s="11">
        <f>Assumptions!$C$27</f>
        <v/>
      </c>
      <c r="H16" s="11">
        <f>Assumptions!$C$27</f>
        <v/>
      </c>
      <c r="I16" s="11">
        <f>Assumptions!$C$27</f>
        <v/>
      </c>
      <c r="J16" s="11">
        <f>Assumptions!$C$27</f>
        <v/>
      </c>
      <c r="K16" s="11">
        <f>Assumptions!$C$27</f>
        <v/>
      </c>
      <c r="L16" s="11">
        <f>Assumptions!$C$27</f>
        <v/>
      </c>
      <c r="M16" s="11">
        <f>Assumptions!$C$27</f>
        <v/>
      </c>
      <c r="N16" s="11">
        <f>Assumptions!$C$27</f>
        <v/>
      </c>
      <c r="O16" s="11">
        <f>Assumptions!$C$27</f>
        <v/>
      </c>
      <c r="P16" s="11">
        <f>Assumptions!$C$27</f>
        <v/>
      </c>
      <c r="Q16" s="11">
        <f>Assumptions!$C$27</f>
        <v/>
      </c>
      <c r="R16" s="11">
        <f>Assumptions!$C$27</f>
        <v/>
      </c>
      <c r="S16" s="11">
        <f>Assumptions!$C$27</f>
        <v/>
      </c>
      <c r="T16" s="11">
        <f>Assumptions!$C$27</f>
        <v/>
      </c>
      <c r="U16" s="11">
        <f>Assumptions!$C$27</f>
        <v/>
      </c>
      <c r="V16" s="11">
        <f>Assumptions!$C$27</f>
        <v/>
      </c>
      <c r="W16" s="11">
        <f>Assumptions!$C$27</f>
        <v/>
      </c>
      <c r="X16" s="11">
        <f>Assumptions!$C$27</f>
        <v/>
      </c>
      <c r="Y16" s="11">
        <f>Assumptions!$C$27</f>
        <v/>
      </c>
    </row>
    <row r="17">
      <c r="A17" s="14" t="inlineStr">
        <is>
          <t>Bookkeeping/accounting</t>
        </is>
      </c>
      <c r="B17" s="11">
        <f>Assumptions!$C$28</f>
        <v/>
      </c>
      <c r="C17" s="11">
        <f>Assumptions!$C$28</f>
        <v/>
      </c>
      <c r="D17" s="11">
        <f>Assumptions!$C$28</f>
        <v/>
      </c>
      <c r="E17" s="11">
        <f>Assumptions!$C$28</f>
        <v/>
      </c>
      <c r="F17" s="11">
        <f>Assumptions!$C$28</f>
        <v/>
      </c>
      <c r="G17" s="11">
        <f>Assumptions!$C$28</f>
        <v/>
      </c>
      <c r="H17" s="11">
        <f>Assumptions!$C$28</f>
        <v/>
      </c>
      <c r="I17" s="11">
        <f>Assumptions!$C$28</f>
        <v/>
      </c>
      <c r="J17" s="11">
        <f>Assumptions!$C$28</f>
        <v/>
      </c>
      <c r="K17" s="11">
        <f>Assumptions!$C$28</f>
        <v/>
      </c>
      <c r="L17" s="11">
        <f>Assumptions!$C$28</f>
        <v/>
      </c>
      <c r="M17" s="11">
        <f>Assumptions!$C$28</f>
        <v/>
      </c>
      <c r="N17" s="11">
        <f>Assumptions!$C$28</f>
        <v/>
      </c>
      <c r="O17" s="11">
        <f>Assumptions!$C$28</f>
        <v/>
      </c>
      <c r="P17" s="11">
        <f>Assumptions!$C$28</f>
        <v/>
      </c>
      <c r="Q17" s="11">
        <f>Assumptions!$C$28</f>
        <v/>
      </c>
      <c r="R17" s="11">
        <f>Assumptions!$C$28</f>
        <v/>
      </c>
      <c r="S17" s="11">
        <f>Assumptions!$C$28</f>
        <v/>
      </c>
      <c r="T17" s="11">
        <f>Assumptions!$C$28</f>
        <v/>
      </c>
      <c r="U17" s="11">
        <f>Assumptions!$C$28</f>
        <v/>
      </c>
      <c r="V17" s="11">
        <f>Assumptions!$C$28</f>
        <v/>
      </c>
      <c r="W17" s="11">
        <f>Assumptions!$C$28</f>
        <v/>
      </c>
      <c r="X17" s="11">
        <f>Assumptions!$C$28</f>
        <v/>
      </c>
      <c r="Y17" s="11">
        <f>Assumptions!$C$28</f>
        <v/>
      </c>
    </row>
    <row r="18">
      <c r="A18" s="14" t="inlineStr">
        <is>
          <t>Marketing/outreach</t>
        </is>
      </c>
      <c r="B18" s="11">
        <f>Assumptions!$C$29</f>
        <v/>
      </c>
      <c r="C18" s="11">
        <f>Assumptions!$C$29</f>
        <v/>
      </c>
      <c r="D18" s="11">
        <f>Assumptions!$C$29</f>
        <v/>
      </c>
      <c r="E18" s="11">
        <f>Assumptions!$C$29</f>
        <v/>
      </c>
      <c r="F18" s="11">
        <f>Assumptions!$C$29</f>
        <v/>
      </c>
      <c r="G18" s="11">
        <f>Assumptions!$C$29</f>
        <v/>
      </c>
      <c r="H18" s="11">
        <f>Assumptions!$C$29</f>
        <v/>
      </c>
      <c r="I18" s="11">
        <f>Assumptions!$C$29</f>
        <v/>
      </c>
      <c r="J18" s="11">
        <f>Assumptions!$C$29</f>
        <v/>
      </c>
      <c r="K18" s="11">
        <f>Assumptions!$C$29</f>
        <v/>
      </c>
      <c r="L18" s="11">
        <f>Assumptions!$C$29</f>
        <v/>
      </c>
      <c r="M18" s="11">
        <f>Assumptions!$C$29</f>
        <v/>
      </c>
      <c r="N18" s="11">
        <f>Assumptions!$C$29</f>
        <v/>
      </c>
      <c r="O18" s="11">
        <f>Assumptions!$C$29</f>
        <v/>
      </c>
      <c r="P18" s="11">
        <f>Assumptions!$C$29</f>
        <v/>
      </c>
      <c r="Q18" s="11">
        <f>Assumptions!$C$29</f>
        <v/>
      </c>
      <c r="R18" s="11">
        <f>Assumptions!$C$29</f>
        <v/>
      </c>
      <c r="S18" s="11">
        <f>Assumptions!$C$29</f>
        <v/>
      </c>
      <c r="T18" s="11">
        <f>Assumptions!$C$29</f>
        <v/>
      </c>
      <c r="U18" s="11">
        <f>Assumptions!$C$29</f>
        <v/>
      </c>
      <c r="V18" s="11">
        <f>Assumptions!$C$29</f>
        <v/>
      </c>
      <c r="W18" s="11">
        <f>Assumptions!$C$29</f>
        <v/>
      </c>
      <c r="X18" s="11">
        <f>Assumptions!$C$29</f>
        <v/>
      </c>
      <c r="Y18" s="11">
        <f>Assumptions!$C$29</f>
        <v/>
      </c>
    </row>
    <row r="19">
      <c r="A19" s="14" t="inlineStr">
        <is>
          <t>General operations</t>
        </is>
      </c>
      <c r="B19" s="11">
        <f>Assumptions!$C$30</f>
        <v/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</row>
    <row r="20">
      <c r="A20" s="14" t="inlineStr">
        <is>
          <t>Equipment/startup setup</t>
        </is>
      </c>
      <c r="B20" s="11" t="n">
        <v>0</v>
      </c>
      <c r="C20" s="11" t="n">
        <v>0</v>
      </c>
      <c r="D20" s="11" t="n">
        <v>0</v>
      </c>
      <c r="E20" s="11">
        <f>IFERROR(-PMT(Assumptions!$C$31/12,Assumptions!$C$32,25000),0)</f>
        <v/>
      </c>
      <c r="F20" s="11">
        <f>IFERROR(-PMT(Assumptions!$C$31/12,Assumptions!$C$32,25000),0)</f>
        <v/>
      </c>
      <c r="G20" s="11">
        <f>IFERROR(-PMT(Assumptions!$C$31/12,Assumptions!$C$32,25000),0)</f>
        <v/>
      </c>
      <c r="H20" s="11">
        <f>IFERROR(-PMT(Assumptions!$C$31/12,Assumptions!$C$32,25000),0)</f>
        <v/>
      </c>
      <c r="I20" s="11">
        <f>IFERROR(-PMT(Assumptions!$C$31/12,Assumptions!$C$32,25000),0)</f>
        <v/>
      </c>
      <c r="J20" s="11">
        <f>IFERROR(-PMT(Assumptions!$C$31/12,Assumptions!$C$32,25000),0)</f>
        <v/>
      </c>
      <c r="K20" s="11">
        <f>IFERROR(-PMT(Assumptions!$C$31/12,Assumptions!$C$32,25000),0)</f>
        <v/>
      </c>
      <c r="L20" s="11">
        <f>IFERROR(-PMT(Assumptions!$C$31/12,Assumptions!$C$32,25000),0)</f>
        <v/>
      </c>
      <c r="M20" s="11">
        <f>IFERROR(-PMT(Assumptions!$C$31/12,Assumptions!$C$32,25000),0)</f>
        <v/>
      </c>
      <c r="N20" s="11">
        <f>IFERROR(-PMT(Assumptions!$C$31/12,Assumptions!$C$32,25000),0)</f>
        <v/>
      </c>
      <c r="O20" s="11">
        <f>IFERROR(-PMT(Assumptions!$C$31/12,Assumptions!$C$32,25000),0)</f>
        <v/>
      </c>
      <c r="P20" s="11">
        <f>IFERROR(-PMT(Assumptions!$C$31/12,Assumptions!$C$32,25000),0)</f>
        <v/>
      </c>
      <c r="Q20" s="11">
        <f>IFERROR(-PMT(Assumptions!$C$31/12,Assumptions!$C$32,25000),0)</f>
        <v/>
      </c>
      <c r="R20" s="11">
        <f>IFERROR(-PMT(Assumptions!$C$31/12,Assumptions!$C$32,25000),0)</f>
        <v/>
      </c>
      <c r="S20" s="11">
        <f>IFERROR(-PMT(Assumptions!$C$31/12,Assumptions!$C$32,25000),0)</f>
        <v/>
      </c>
      <c r="T20" s="11">
        <f>IFERROR(-PMT(Assumptions!$C$31/12,Assumptions!$C$32,25000),0)</f>
        <v/>
      </c>
      <c r="U20" s="11">
        <f>IFERROR(-PMT(Assumptions!$C$31/12,Assumptions!$C$32,25000),0)</f>
        <v/>
      </c>
      <c r="V20" s="11">
        <f>IFERROR(-PMT(Assumptions!$C$31/12,Assumptions!$C$32,25000),0)</f>
        <v/>
      </c>
      <c r="W20" s="11">
        <f>IFERROR(-PMT(Assumptions!$C$31/12,Assumptions!$C$32,25000),0)</f>
        <v/>
      </c>
      <c r="X20" s="11">
        <f>IFERROR(-PMT(Assumptions!$C$31/12,Assumptions!$C$32,25000),0)</f>
        <v/>
      </c>
      <c r="Y20" s="11">
        <f>IFERROR(-PMT(Assumptions!$C$31/12,Assumptions!$C$32,25000),0)</f>
        <v/>
      </c>
    </row>
    <row r="21">
      <c r="A21" s="14" t="inlineStr">
        <is>
          <t>Estimated loan payment</t>
        </is>
      </c>
      <c r="B21" s="11">
        <f>SUM(B11:B20)</f>
        <v/>
      </c>
      <c r="C21" s="11">
        <f>SUM(C11:C20)</f>
        <v/>
      </c>
      <c r="D21" s="11">
        <f>SUM(D11:D20)</f>
        <v/>
      </c>
      <c r="E21" s="11">
        <f>SUM(E11:E20)</f>
        <v/>
      </c>
      <c r="F21" s="11">
        <f>SUM(F11:F20)</f>
        <v/>
      </c>
      <c r="G21" s="11">
        <f>SUM(G11:G20)</f>
        <v/>
      </c>
      <c r="H21" s="11">
        <f>SUM(H11:H20)</f>
        <v/>
      </c>
      <c r="I21" s="11">
        <f>SUM(I11:I20)</f>
        <v/>
      </c>
      <c r="J21" s="11">
        <f>SUM(J11:J20)</f>
        <v/>
      </c>
      <c r="K21" s="11">
        <f>SUM(K11:K20)</f>
        <v/>
      </c>
      <c r="L21" s="11">
        <f>SUM(L11:L20)</f>
        <v/>
      </c>
      <c r="M21" s="11">
        <f>SUM(M11:M20)</f>
        <v/>
      </c>
      <c r="N21" s="11">
        <f>SUM(N11:N20)</f>
        <v/>
      </c>
      <c r="O21" s="11">
        <f>SUM(O11:O20)</f>
        <v/>
      </c>
      <c r="P21" s="11">
        <f>SUM(P11:P20)</f>
        <v/>
      </c>
      <c r="Q21" s="11">
        <f>SUM(Q11:Q20)</f>
        <v/>
      </c>
      <c r="R21" s="11">
        <f>SUM(R11:R20)</f>
        <v/>
      </c>
      <c r="S21" s="11">
        <f>SUM(S11:S20)</f>
        <v/>
      </c>
      <c r="T21" s="11">
        <f>SUM(T11:T20)</f>
        <v/>
      </c>
      <c r="U21" s="11">
        <f>SUM(U11:U20)</f>
        <v/>
      </c>
      <c r="V21" s="11">
        <f>SUM(V11:V20)</f>
        <v/>
      </c>
      <c r="W21" s="11">
        <f>SUM(W11:W20)</f>
        <v/>
      </c>
      <c r="X21" s="11">
        <f>SUM(X11:X20)</f>
        <v/>
      </c>
      <c r="Y21" s="11">
        <f>SUM(Y11:Y20)</f>
        <v/>
      </c>
    </row>
    <row r="22">
      <c r="A22" s="15" t="inlineStr">
        <is>
          <t>Total cash outflows</t>
        </is>
      </c>
      <c r="B22" s="11">
        <f>B10-B21</f>
        <v/>
      </c>
      <c r="C22" s="11">
        <f>C10-C21</f>
        <v/>
      </c>
      <c r="D22" s="11">
        <f>D10-D21</f>
        <v/>
      </c>
      <c r="E22" s="11">
        <f>E10-E21</f>
        <v/>
      </c>
      <c r="F22" s="11">
        <f>F10-F21</f>
        <v/>
      </c>
      <c r="G22" s="11">
        <f>G10-G21</f>
        <v/>
      </c>
      <c r="H22" s="11">
        <f>H10-H21</f>
        <v/>
      </c>
      <c r="I22" s="11">
        <f>I10-I21</f>
        <v/>
      </c>
      <c r="J22" s="11">
        <f>J10-J21</f>
        <v/>
      </c>
      <c r="K22" s="11">
        <f>K10-K21</f>
        <v/>
      </c>
      <c r="L22" s="11">
        <f>L10-L21</f>
        <v/>
      </c>
      <c r="M22" s="11">
        <f>M10-M21</f>
        <v/>
      </c>
      <c r="N22" s="11">
        <f>N10-N21</f>
        <v/>
      </c>
      <c r="O22" s="11">
        <f>O10-O21</f>
        <v/>
      </c>
      <c r="P22" s="11">
        <f>P10-P21</f>
        <v/>
      </c>
      <c r="Q22" s="11">
        <f>Q10-Q21</f>
        <v/>
      </c>
      <c r="R22" s="11">
        <f>R10-R21</f>
        <v/>
      </c>
      <c r="S22" s="11">
        <f>S10-S21</f>
        <v/>
      </c>
      <c r="T22" s="11">
        <f>T10-T21</f>
        <v/>
      </c>
      <c r="U22" s="11">
        <f>U10-U21</f>
        <v/>
      </c>
      <c r="V22" s="11">
        <f>V10-V21</f>
        <v/>
      </c>
      <c r="W22" s="11">
        <f>W10-W21</f>
        <v/>
      </c>
      <c r="X22" s="11">
        <f>X10-X21</f>
        <v/>
      </c>
      <c r="Y22" s="11">
        <f>Y10-Y21</f>
        <v/>
      </c>
    </row>
    <row r="23">
      <c r="A23" s="14" t="inlineStr">
        <is>
          <t>Net cash movement</t>
        </is>
      </c>
      <c r="B23" s="11">
        <f>B5+B22</f>
        <v/>
      </c>
      <c r="C23" s="11">
        <f>C5+C22</f>
        <v/>
      </c>
      <c r="D23" s="11">
        <f>D5+D22</f>
        <v/>
      </c>
      <c r="E23" s="11">
        <f>E5+E22</f>
        <v/>
      </c>
      <c r="F23" s="11">
        <f>F5+F22</f>
        <v/>
      </c>
      <c r="G23" s="11">
        <f>G5+G22</f>
        <v/>
      </c>
      <c r="H23" s="11">
        <f>H5+H22</f>
        <v/>
      </c>
      <c r="I23" s="11">
        <f>I5+I22</f>
        <v/>
      </c>
      <c r="J23" s="11">
        <f>J5+J22</f>
        <v/>
      </c>
      <c r="K23" s="11">
        <f>K5+K22</f>
        <v/>
      </c>
      <c r="L23" s="11">
        <f>L5+L22</f>
        <v/>
      </c>
      <c r="M23" s="11">
        <f>M5+M22</f>
        <v/>
      </c>
      <c r="N23" s="11">
        <f>N5+N22</f>
        <v/>
      </c>
      <c r="O23" s="11">
        <f>O5+O22</f>
        <v/>
      </c>
      <c r="P23" s="11">
        <f>P5+P22</f>
        <v/>
      </c>
      <c r="Q23" s="11">
        <f>Q5+Q22</f>
        <v/>
      </c>
      <c r="R23" s="11">
        <f>R5+R22</f>
        <v/>
      </c>
      <c r="S23" s="11">
        <f>S5+S22</f>
        <v/>
      </c>
      <c r="T23" s="11">
        <f>T5+T22</f>
        <v/>
      </c>
      <c r="U23" s="11">
        <f>U5+U22</f>
        <v/>
      </c>
      <c r="V23" s="11">
        <f>V5+V22</f>
        <v/>
      </c>
      <c r="W23" s="11">
        <f>W5+W22</f>
        <v/>
      </c>
      <c r="X23" s="11">
        <f>X5+X22</f>
        <v/>
      </c>
      <c r="Y23" s="11">
        <f>Y5+Y22</f>
        <v/>
      </c>
    </row>
    <row r="24">
      <c r="A24" s="16" t="inlineStr">
        <is>
          <t>Ending cash</t>
        </is>
      </c>
    </row>
  </sheetData>
  <mergeCells count="2">
    <mergeCell ref="A2:H2"/>
    <mergeCell ref="A1:H1"/>
  </mergeCells>
  <conditionalFormatting sqref="B23:Y2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8" customHeight="1">
      <c r="A1" s="1" t="inlineStr">
        <is>
          <t>Cash Flow $50k</t>
        </is>
      </c>
    </row>
    <row r="2" ht="35" customHeight="1">
      <c r="A2" s="2" t="inlineStr">
        <is>
          <t>Pre-revenue, local-business-package starter scenario. Loan proceeds are illustrative only. Customer cash comes solely from the Local-Business Sales Ramp planning assumptions.</t>
        </is>
      </c>
    </row>
    <row r="3"/>
    <row r="4" ht="30" customHeight="1">
      <c r="A4" s="3" t="inlineStr">
        <is>
          <t>Cash-flow line</t>
        </is>
      </c>
      <c r="B4" s="3" t="inlineStr">
        <is>
          <t>Sep-26</t>
        </is>
      </c>
      <c r="C4" s="3" t="inlineStr">
        <is>
          <t>Oct-26</t>
        </is>
      </c>
      <c r="D4" s="3" t="inlineStr">
        <is>
          <t>Nov-26</t>
        </is>
      </c>
      <c r="E4" s="3" t="inlineStr">
        <is>
          <t>Dec-26</t>
        </is>
      </c>
      <c r="F4" s="3" t="inlineStr">
        <is>
          <t>Jan-27</t>
        </is>
      </c>
      <c r="G4" s="3" t="inlineStr">
        <is>
          <t>Feb-27</t>
        </is>
      </c>
      <c r="H4" s="3" t="inlineStr">
        <is>
          <t>Mar-27</t>
        </is>
      </c>
      <c r="I4" s="3" t="inlineStr">
        <is>
          <t>Apr-27</t>
        </is>
      </c>
      <c r="J4" s="3" t="inlineStr">
        <is>
          <t>May-27</t>
        </is>
      </c>
      <c r="K4" s="3" t="inlineStr">
        <is>
          <t>Jun-27</t>
        </is>
      </c>
      <c r="L4" s="3" t="inlineStr">
        <is>
          <t>Jul-27</t>
        </is>
      </c>
      <c r="M4" s="3" t="inlineStr">
        <is>
          <t>Aug-27</t>
        </is>
      </c>
      <c r="N4" s="3" t="inlineStr">
        <is>
          <t>Sep-27</t>
        </is>
      </c>
      <c r="O4" s="3" t="inlineStr">
        <is>
          <t>Oct-27</t>
        </is>
      </c>
      <c r="P4" s="3" t="inlineStr">
        <is>
          <t>Nov-27</t>
        </is>
      </c>
      <c r="Q4" s="3" t="inlineStr">
        <is>
          <t>Dec-27</t>
        </is>
      </c>
      <c r="R4" s="3" t="inlineStr">
        <is>
          <t>Jan-28</t>
        </is>
      </c>
      <c r="S4" s="3" t="inlineStr">
        <is>
          <t>Feb-28</t>
        </is>
      </c>
      <c r="T4" s="3" t="inlineStr">
        <is>
          <t>Mar-28</t>
        </is>
      </c>
      <c r="U4" s="3" t="inlineStr">
        <is>
          <t>Apr-28</t>
        </is>
      </c>
      <c r="V4" s="3" t="inlineStr">
        <is>
          <t>May-28</t>
        </is>
      </c>
      <c r="W4" s="3" t="inlineStr">
        <is>
          <t>Jun-28</t>
        </is>
      </c>
      <c r="X4" s="3" t="inlineStr">
        <is>
          <t>Jul-28</t>
        </is>
      </c>
      <c r="Y4" s="3" t="inlineStr">
        <is>
          <t>Aug-28</t>
        </is>
      </c>
    </row>
    <row r="5">
      <c r="A5" s="14" t="inlineStr">
        <is>
          <t>Beginning cash</t>
        </is>
      </c>
      <c r="B5" s="11">
        <f>Assumptions!$C$6</f>
        <v/>
      </c>
      <c r="C5" s="11">
        <f>B24</f>
        <v/>
      </c>
      <c r="D5" s="11">
        <f>C24</f>
        <v/>
      </c>
      <c r="E5" s="11">
        <f>D24</f>
        <v/>
      </c>
      <c r="F5" s="11">
        <f>E24</f>
        <v/>
      </c>
      <c r="G5" s="11">
        <f>F24</f>
        <v/>
      </c>
      <c r="H5" s="11">
        <f>G24</f>
        <v/>
      </c>
      <c r="I5" s="11">
        <f>H24</f>
        <v/>
      </c>
      <c r="J5" s="11">
        <f>I24</f>
        <v/>
      </c>
      <c r="K5" s="11">
        <f>J24</f>
        <v/>
      </c>
      <c r="L5" s="11">
        <f>K24</f>
        <v/>
      </c>
      <c r="M5" s="11">
        <f>L24</f>
        <v/>
      </c>
      <c r="N5" s="11">
        <f>M24</f>
        <v/>
      </c>
      <c r="O5" s="11">
        <f>N24</f>
        <v/>
      </c>
      <c r="P5" s="11">
        <f>O24</f>
        <v/>
      </c>
      <c r="Q5" s="11">
        <f>P24</f>
        <v/>
      </c>
      <c r="R5" s="11">
        <f>Q24</f>
        <v/>
      </c>
      <c r="S5" s="11">
        <f>R24</f>
        <v/>
      </c>
      <c r="T5" s="11">
        <f>S24</f>
        <v/>
      </c>
      <c r="U5" s="11">
        <f>T24</f>
        <v/>
      </c>
      <c r="V5" s="11">
        <f>U24</f>
        <v/>
      </c>
      <c r="W5" s="11">
        <f>V24</f>
        <v/>
      </c>
      <c r="X5" s="11">
        <f>W24</f>
        <v/>
      </c>
      <c r="Y5" s="11">
        <f>X24</f>
        <v/>
      </c>
    </row>
    <row r="6">
      <c r="A6" s="14" t="inlineStr">
        <is>
          <t>Illustrative funding proceeds</t>
        </is>
      </c>
      <c r="B6" s="11" t="n">
        <v>50000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</row>
    <row r="7">
      <c r="A7" s="14" t="inlineStr">
        <is>
          <t>Owner contribution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</row>
    <row r="8">
      <c r="A8" s="14" t="inlineStr">
        <is>
          <t>Customer deposits collected</t>
        </is>
      </c>
      <c r="B8" s="11">
        <f>'Local Business Sales'!B8</f>
        <v/>
      </c>
      <c r="C8" s="11">
        <f>'Local Business Sales'!C8</f>
        <v/>
      </c>
      <c r="D8" s="11">
        <f>'Local Business Sales'!D8</f>
        <v/>
      </c>
      <c r="E8" s="11">
        <f>'Local Business Sales'!E8</f>
        <v/>
      </c>
      <c r="F8" s="11">
        <f>'Local Business Sales'!F8</f>
        <v/>
      </c>
      <c r="G8" s="11">
        <f>'Local Business Sales'!G8</f>
        <v/>
      </c>
      <c r="H8" s="11">
        <f>'Local Business Sales'!H8</f>
        <v/>
      </c>
      <c r="I8" s="11">
        <f>'Local Business Sales'!I8</f>
        <v/>
      </c>
      <c r="J8" s="11">
        <f>'Local Business Sales'!J8</f>
        <v/>
      </c>
      <c r="K8" s="11">
        <f>'Local Business Sales'!K8</f>
        <v/>
      </c>
      <c r="L8" s="11">
        <f>'Local Business Sales'!L8</f>
        <v/>
      </c>
      <c r="M8" s="11">
        <f>'Local Business Sales'!M8</f>
        <v/>
      </c>
      <c r="N8" s="11">
        <f>'Local Business Sales'!N8</f>
        <v/>
      </c>
      <c r="O8" s="11">
        <f>'Local Business Sales'!O8</f>
        <v/>
      </c>
      <c r="P8" s="11">
        <f>'Local Business Sales'!P8</f>
        <v/>
      </c>
      <c r="Q8" s="11">
        <f>'Local Business Sales'!Q8</f>
        <v/>
      </c>
      <c r="R8" s="11">
        <f>'Local Business Sales'!R8</f>
        <v/>
      </c>
      <c r="S8" s="11">
        <f>'Local Business Sales'!S8</f>
        <v/>
      </c>
      <c r="T8" s="11">
        <f>'Local Business Sales'!T8</f>
        <v/>
      </c>
      <c r="U8" s="11">
        <f>'Local Business Sales'!U8</f>
        <v/>
      </c>
      <c r="V8" s="11">
        <f>'Local Business Sales'!V8</f>
        <v/>
      </c>
      <c r="W8" s="11">
        <f>'Local Business Sales'!W8</f>
        <v/>
      </c>
      <c r="X8" s="11">
        <f>'Local Business Sales'!X8</f>
        <v/>
      </c>
      <c r="Y8" s="11">
        <f>'Local Business Sales'!Y8</f>
        <v/>
      </c>
    </row>
    <row r="9">
      <c r="A9" s="14" t="inlineStr">
        <is>
          <t>Customer final collections</t>
        </is>
      </c>
      <c r="B9" s="11">
        <f>'Local Business Sales'!B9</f>
        <v/>
      </c>
      <c r="C9" s="11">
        <f>'Local Business Sales'!C9</f>
        <v/>
      </c>
      <c r="D9" s="11">
        <f>'Local Business Sales'!D9</f>
        <v/>
      </c>
      <c r="E9" s="11">
        <f>'Local Business Sales'!E9</f>
        <v/>
      </c>
      <c r="F9" s="11">
        <f>'Local Business Sales'!F9</f>
        <v/>
      </c>
      <c r="G9" s="11">
        <f>'Local Business Sales'!G9</f>
        <v/>
      </c>
      <c r="H9" s="11">
        <f>'Local Business Sales'!H9</f>
        <v/>
      </c>
      <c r="I9" s="11">
        <f>'Local Business Sales'!I9</f>
        <v/>
      </c>
      <c r="J9" s="11">
        <f>'Local Business Sales'!J9</f>
        <v/>
      </c>
      <c r="K9" s="11">
        <f>'Local Business Sales'!K9</f>
        <v/>
      </c>
      <c r="L9" s="11">
        <f>'Local Business Sales'!L9</f>
        <v/>
      </c>
      <c r="M9" s="11">
        <f>'Local Business Sales'!M9</f>
        <v/>
      </c>
      <c r="N9" s="11">
        <f>'Local Business Sales'!N9</f>
        <v/>
      </c>
      <c r="O9" s="11">
        <f>'Local Business Sales'!O9</f>
        <v/>
      </c>
      <c r="P9" s="11">
        <f>'Local Business Sales'!P9</f>
        <v/>
      </c>
      <c r="Q9" s="11">
        <f>'Local Business Sales'!Q9</f>
        <v/>
      </c>
      <c r="R9" s="11">
        <f>'Local Business Sales'!R9</f>
        <v/>
      </c>
      <c r="S9" s="11">
        <f>'Local Business Sales'!S9</f>
        <v/>
      </c>
      <c r="T9" s="11">
        <f>'Local Business Sales'!T9</f>
        <v/>
      </c>
      <c r="U9" s="11">
        <f>'Local Business Sales'!U9</f>
        <v/>
      </c>
      <c r="V9" s="11">
        <f>'Local Business Sales'!V9</f>
        <v/>
      </c>
      <c r="W9" s="11">
        <f>'Local Business Sales'!W9</f>
        <v/>
      </c>
      <c r="X9" s="11">
        <f>'Local Business Sales'!X9</f>
        <v/>
      </c>
      <c r="Y9" s="11">
        <f>'Local Business Sales'!Y9</f>
        <v/>
      </c>
    </row>
    <row r="10">
      <c r="A10" s="15" t="inlineStr">
        <is>
          <t>Total cash inflows</t>
        </is>
      </c>
      <c r="B10" s="11">
        <f>SUM(B6:B9)</f>
        <v/>
      </c>
      <c r="C10" s="11">
        <f>SUM(C6:C9)</f>
        <v/>
      </c>
      <c r="D10" s="11">
        <f>SUM(D6:D9)</f>
        <v/>
      </c>
      <c r="E10" s="11">
        <f>SUM(E6:E9)</f>
        <v/>
      </c>
      <c r="F10" s="11">
        <f>SUM(F6:F9)</f>
        <v/>
      </c>
      <c r="G10" s="11">
        <f>SUM(G6:G9)</f>
        <v/>
      </c>
      <c r="H10" s="11">
        <f>SUM(H6:H9)</f>
        <v/>
      </c>
      <c r="I10" s="11">
        <f>SUM(I6:I9)</f>
        <v/>
      </c>
      <c r="J10" s="11">
        <f>SUM(J6:J9)</f>
        <v/>
      </c>
      <c r="K10" s="11">
        <f>SUM(K6:K9)</f>
        <v/>
      </c>
      <c r="L10" s="11">
        <f>SUM(L6:L9)</f>
        <v/>
      </c>
      <c r="M10" s="11">
        <f>SUM(M6:M9)</f>
        <v/>
      </c>
      <c r="N10" s="11">
        <f>SUM(N6:N9)</f>
        <v/>
      </c>
      <c r="O10" s="11">
        <f>SUM(O6:O9)</f>
        <v/>
      </c>
      <c r="P10" s="11">
        <f>SUM(P6:P9)</f>
        <v/>
      </c>
      <c r="Q10" s="11">
        <f>SUM(Q6:Q9)</f>
        <v/>
      </c>
      <c r="R10" s="11">
        <f>SUM(R6:R9)</f>
        <v/>
      </c>
      <c r="S10" s="11">
        <f>SUM(S6:S9)</f>
        <v/>
      </c>
      <c r="T10" s="11">
        <f>SUM(T6:T9)</f>
        <v/>
      </c>
      <c r="U10" s="11">
        <f>SUM(U6:U9)</f>
        <v/>
      </c>
      <c r="V10" s="11">
        <f>SUM(V6:V9)</f>
        <v/>
      </c>
      <c r="W10" s="11">
        <f>SUM(W6:W9)</f>
        <v/>
      </c>
      <c r="X10" s="11">
        <f>SUM(X6:X9)</f>
        <v/>
      </c>
      <c r="Y10" s="11">
        <f>SUM(Y6:Y9)</f>
        <v/>
      </c>
    </row>
    <row r="11">
      <c r="A11" s="14" t="inlineStr">
        <is>
          <t>Direct project costs</t>
        </is>
      </c>
      <c r="B11" s="11">
        <f>'Local Business Sales'!B11</f>
        <v/>
      </c>
      <c r="C11" s="11">
        <f>'Local Business Sales'!C11</f>
        <v/>
      </c>
      <c r="D11" s="11">
        <f>'Local Business Sales'!D11</f>
        <v/>
      </c>
      <c r="E11" s="11">
        <f>'Local Business Sales'!E11</f>
        <v/>
      </c>
      <c r="F11" s="11">
        <f>'Local Business Sales'!F11</f>
        <v/>
      </c>
      <c r="G11" s="11">
        <f>'Local Business Sales'!G11</f>
        <v/>
      </c>
      <c r="H11" s="11">
        <f>'Local Business Sales'!H11</f>
        <v/>
      </c>
      <c r="I11" s="11">
        <f>'Local Business Sales'!I11</f>
        <v/>
      </c>
      <c r="J11" s="11">
        <f>'Local Business Sales'!J11</f>
        <v/>
      </c>
      <c r="K11" s="11">
        <f>'Local Business Sales'!K11</f>
        <v/>
      </c>
      <c r="L11" s="11">
        <f>'Local Business Sales'!L11</f>
        <v/>
      </c>
      <c r="M11" s="11">
        <f>'Local Business Sales'!M11</f>
        <v/>
      </c>
      <c r="N11" s="11">
        <f>'Local Business Sales'!N11</f>
        <v/>
      </c>
      <c r="O11" s="11">
        <f>'Local Business Sales'!O11</f>
        <v/>
      </c>
      <c r="P11" s="11">
        <f>'Local Business Sales'!P11</f>
        <v/>
      </c>
      <c r="Q11" s="11">
        <f>'Local Business Sales'!Q11</f>
        <v/>
      </c>
      <c r="R11" s="11">
        <f>'Local Business Sales'!R11</f>
        <v/>
      </c>
      <c r="S11" s="11">
        <f>'Local Business Sales'!S11</f>
        <v/>
      </c>
      <c r="T11" s="11">
        <f>'Local Business Sales'!T11</f>
        <v/>
      </c>
      <c r="U11" s="11">
        <f>'Local Business Sales'!U11</f>
        <v/>
      </c>
      <c r="V11" s="11">
        <f>'Local Business Sales'!V11</f>
        <v/>
      </c>
      <c r="W11" s="11">
        <f>'Local Business Sales'!W11</f>
        <v/>
      </c>
      <c r="X11" s="11">
        <f>'Local Business Sales'!X11</f>
        <v/>
      </c>
      <c r="Y11" s="11">
        <f>'Local Business Sales'!Y11</f>
        <v/>
      </c>
    </row>
    <row r="12">
      <c r="A12" s="14" t="inlineStr">
        <is>
          <t>Founder payroll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</row>
    <row r="13">
      <c r="A13" s="14" t="inlineStr">
        <is>
          <t>Legal services</t>
        </is>
      </c>
      <c r="B13" s="11">
        <f>Assumptions!$C$24</f>
        <v/>
      </c>
      <c r="C13" s="11" t="n">
        <v>0</v>
      </c>
      <c r="D13" s="11" t="n">
        <v>0</v>
      </c>
      <c r="E13" s="11">
        <f>Assumptions!$C$24</f>
        <v/>
      </c>
      <c r="F13" s="11" t="n">
        <v>0</v>
      </c>
      <c r="G13" s="11" t="n">
        <v>0</v>
      </c>
      <c r="H13" s="11">
        <f>Assumptions!$C$24</f>
        <v/>
      </c>
      <c r="I13" s="11" t="n">
        <v>0</v>
      </c>
      <c r="J13" s="11" t="n">
        <v>0</v>
      </c>
      <c r="K13" s="11">
        <f>Assumptions!$C$24</f>
        <v/>
      </c>
      <c r="L13" s="11" t="n">
        <v>0</v>
      </c>
      <c r="M13" s="11" t="n">
        <v>0</v>
      </c>
      <c r="N13" s="11">
        <f>Assumptions!$C$24</f>
        <v/>
      </c>
      <c r="O13" s="11" t="n">
        <v>0</v>
      </c>
      <c r="P13" s="11" t="n">
        <v>0</v>
      </c>
      <c r="Q13" s="11">
        <f>Assumptions!$C$24</f>
        <v/>
      </c>
      <c r="R13" s="11" t="n">
        <v>0</v>
      </c>
      <c r="S13" s="11" t="n">
        <v>0</v>
      </c>
      <c r="T13" s="11">
        <f>Assumptions!$C$24</f>
        <v/>
      </c>
      <c r="U13" s="11" t="n">
        <v>0</v>
      </c>
      <c r="V13" s="11" t="n">
        <v>0</v>
      </c>
      <c r="W13" s="11">
        <f>Assumptions!$C$24</f>
        <v/>
      </c>
      <c r="X13" s="11" t="n">
        <v>0</v>
      </c>
      <c r="Y13" s="11" t="n">
        <v>0</v>
      </c>
    </row>
    <row r="14">
      <c r="A14" s="14" t="inlineStr">
        <is>
          <t>Minor operating overhead</t>
        </is>
      </c>
      <c r="B14" s="11">
        <f>Assumptions!$C$25</f>
        <v/>
      </c>
      <c r="C14" s="11" t="n">
        <v>0</v>
      </c>
      <c r="D14" s="11" t="n">
        <v>0</v>
      </c>
      <c r="E14" s="11">
        <f>Assumptions!$C$25</f>
        <v/>
      </c>
      <c r="F14" s="11" t="n">
        <v>0</v>
      </c>
      <c r="G14" s="11" t="n">
        <v>0</v>
      </c>
      <c r="H14" s="11">
        <f>Assumptions!$C$25</f>
        <v/>
      </c>
      <c r="I14" s="11" t="n">
        <v>0</v>
      </c>
      <c r="J14" s="11" t="n">
        <v>0</v>
      </c>
      <c r="K14" s="11">
        <f>Assumptions!$C$25</f>
        <v/>
      </c>
      <c r="L14" s="11" t="n">
        <v>0</v>
      </c>
      <c r="M14" s="11" t="n">
        <v>0</v>
      </c>
      <c r="N14" s="11">
        <f>Assumptions!$C$25</f>
        <v/>
      </c>
      <c r="O14" s="11" t="n">
        <v>0</v>
      </c>
      <c r="P14" s="11" t="n">
        <v>0</v>
      </c>
      <c r="Q14" s="11">
        <f>Assumptions!$C$25</f>
        <v/>
      </c>
      <c r="R14" s="11" t="n">
        <v>0</v>
      </c>
      <c r="S14" s="11" t="n">
        <v>0</v>
      </c>
      <c r="T14" s="11">
        <f>Assumptions!$C$25</f>
        <v/>
      </c>
      <c r="U14" s="11" t="n">
        <v>0</v>
      </c>
      <c r="V14" s="11" t="n">
        <v>0</v>
      </c>
      <c r="W14" s="11">
        <f>Assumptions!$C$25</f>
        <v/>
      </c>
      <c r="X14" s="11" t="n">
        <v>0</v>
      </c>
      <c r="Y14" s="11" t="n">
        <v>0</v>
      </c>
    </row>
    <row r="15">
      <c r="A15" s="14" t="inlineStr">
        <is>
          <t>Software/domains/storage/communications</t>
        </is>
      </c>
      <c r="B15" s="11">
        <f>Assumptions!$C$26</f>
        <v/>
      </c>
      <c r="C15" s="11">
        <f>Assumptions!$C$26</f>
        <v/>
      </c>
      <c r="D15" s="11">
        <f>Assumptions!$C$26</f>
        <v/>
      </c>
      <c r="E15" s="11">
        <f>Assumptions!$C$26</f>
        <v/>
      </c>
      <c r="F15" s="11">
        <f>Assumptions!$C$26</f>
        <v/>
      </c>
      <c r="G15" s="11">
        <f>Assumptions!$C$26</f>
        <v/>
      </c>
      <c r="H15" s="11">
        <f>Assumptions!$C$26</f>
        <v/>
      </c>
      <c r="I15" s="11">
        <f>Assumptions!$C$26</f>
        <v/>
      </c>
      <c r="J15" s="11">
        <f>Assumptions!$C$26</f>
        <v/>
      </c>
      <c r="K15" s="11">
        <f>Assumptions!$C$26</f>
        <v/>
      </c>
      <c r="L15" s="11">
        <f>Assumptions!$C$26</f>
        <v/>
      </c>
      <c r="M15" s="11">
        <f>Assumptions!$C$26</f>
        <v/>
      </c>
      <c r="N15" s="11">
        <f>Assumptions!$C$26</f>
        <v/>
      </c>
      <c r="O15" s="11">
        <f>Assumptions!$C$26</f>
        <v/>
      </c>
      <c r="P15" s="11">
        <f>Assumptions!$C$26</f>
        <v/>
      </c>
      <c r="Q15" s="11">
        <f>Assumptions!$C$26</f>
        <v/>
      </c>
      <c r="R15" s="11">
        <f>Assumptions!$C$26</f>
        <v/>
      </c>
      <c r="S15" s="11">
        <f>Assumptions!$C$26</f>
        <v/>
      </c>
      <c r="T15" s="11">
        <f>Assumptions!$C$26</f>
        <v/>
      </c>
      <c r="U15" s="11">
        <f>Assumptions!$C$26</f>
        <v/>
      </c>
      <c r="V15" s="11">
        <f>Assumptions!$C$26</f>
        <v/>
      </c>
      <c r="W15" s="11">
        <f>Assumptions!$C$26</f>
        <v/>
      </c>
      <c r="X15" s="11">
        <f>Assumptions!$C$26</f>
        <v/>
      </c>
      <c r="Y15" s="11">
        <f>Assumptions!$C$26</f>
        <v/>
      </c>
    </row>
    <row r="16">
      <c r="A16" s="14" t="inlineStr">
        <is>
          <t>Insurance</t>
        </is>
      </c>
      <c r="B16" s="11">
        <f>Assumptions!$C$27</f>
        <v/>
      </c>
      <c r="C16" s="11">
        <f>Assumptions!$C$27</f>
        <v/>
      </c>
      <c r="D16" s="11">
        <f>Assumptions!$C$27</f>
        <v/>
      </c>
      <c r="E16" s="11">
        <f>Assumptions!$C$27</f>
        <v/>
      </c>
      <c r="F16" s="11">
        <f>Assumptions!$C$27</f>
        <v/>
      </c>
      <c r="G16" s="11">
        <f>Assumptions!$C$27</f>
        <v/>
      </c>
      <c r="H16" s="11">
        <f>Assumptions!$C$27</f>
        <v/>
      </c>
      <c r="I16" s="11">
        <f>Assumptions!$C$27</f>
        <v/>
      </c>
      <c r="J16" s="11">
        <f>Assumptions!$C$27</f>
        <v/>
      </c>
      <c r="K16" s="11">
        <f>Assumptions!$C$27</f>
        <v/>
      </c>
      <c r="L16" s="11">
        <f>Assumptions!$C$27</f>
        <v/>
      </c>
      <c r="M16" s="11">
        <f>Assumptions!$C$27</f>
        <v/>
      </c>
      <c r="N16" s="11">
        <f>Assumptions!$C$27</f>
        <v/>
      </c>
      <c r="O16" s="11">
        <f>Assumptions!$C$27</f>
        <v/>
      </c>
      <c r="P16" s="11">
        <f>Assumptions!$C$27</f>
        <v/>
      </c>
      <c r="Q16" s="11">
        <f>Assumptions!$C$27</f>
        <v/>
      </c>
      <c r="R16" s="11">
        <f>Assumptions!$C$27</f>
        <v/>
      </c>
      <c r="S16" s="11">
        <f>Assumptions!$C$27</f>
        <v/>
      </c>
      <c r="T16" s="11">
        <f>Assumptions!$C$27</f>
        <v/>
      </c>
      <c r="U16" s="11">
        <f>Assumptions!$C$27</f>
        <v/>
      </c>
      <c r="V16" s="11">
        <f>Assumptions!$C$27</f>
        <v/>
      </c>
      <c r="W16" s="11">
        <f>Assumptions!$C$27</f>
        <v/>
      </c>
      <c r="X16" s="11">
        <f>Assumptions!$C$27</f>
        <v/>
      </c>
      <c r="Y16" s="11">
        <f>Assumptions!$C$27</f>
        <v/>
      </c>
    </row>
    <row r="17">
      <c r="A17" s="14" t="inlineStr">
        <is>
          <t>Bookkeeping/accounting</t>
        </is>
      </c>
      <c r="B17" s="11">
        <f>Assumptions!$C$28</f>
        <v/>
      </c>
      <c r="C17" s="11">
        <f>Assumptions!$C$28</f>
        <v/>
      </c>
      <c r="D17" s="11">
        <f>Assumptions!$C$28</f>
        <v/>
      </c>
      <c r="E17" s="11">
        <f>Assumptions!$C$28</f>
        <v/>
      </c>
      <c r="F17" s="11">
        <f>Assumptions!$C$28</f>
        <v/>
      </c>
      <c r="G17" s="11">
        <f>Assumptions!$C$28</f>
        <v/>
      </c>
      <c r="H17" s="11">
        <f>Assumptions!$C$28</f>
        <v/>
      </c>
      <c r="I17" s="11">
        <f>Assumptions!$C$28</f>
        <v/>
      </c>
      <c r="J17" s="11">
        <f>Assumptions!$C$28</f>
        <v/>
      </c>
      <c r="K17" s="11">
        <f>Assumptions!$C$28</f>
        <v/>
      </c>
      <c r="L17" s="11">
        <f>Assumptions!$C$28</f>
        <v/>
      </c>
      <c r="M17" s="11">
        <f>Assumptions!$C$28</f>
        <v/>
      </c>
      <c r="N17" s="11">
        <f>Assumptions!$C$28</f>
        <v/>
      </c>
      <c r="O17" s="11">
        <f>Assumptions!$C$28</f>
        <v/>
      </c>
      <c r="P17" s="11">
        <f>Assumptions!$C$28</f>
        <v/>
      </c>
      <c r="Q17" s="11">
        <f>Assumptions!$C$28</f>
        <v/>
      </c>
      <c r="R17" s="11">
        <f>Assumptions!$C$28</f>
        <v/>
      </c>
      <c r="S17" s="11">
        <f>Assumptions!$C$28</f>
        <v/>
      </c>
      <c r="T17" s="11">
        <f>Assumptions!$C$28</f>
        <v/>
      </c>
      <c r="U17" s="11">
        <f>Assumptions!$C$28</f>
        <v/>
      </c>
      <c r="V17" s="11">
        <f>Assumptions!$C$28</f>
        <v/>
      </c>
      <c r="W17" s="11">
        <f>Assumptions!$C$28</f>
        <v/>
      </c>
      <c r="X17" s="11">
        <f>Assumptions!$C$28</f>
        <v/>
      </c>
      <c r="Y17" s="11">
        <f>Assumptions!$C$28</f>
        <v/>
      </c>
    </row>
    <row r="18">
      <c r="A18" s="14" t="inlineStr">
        <is>
          <t>Marketing/outreach</t>
        </is>
      </c>
      <c r="B18" s="11">
        <f>Assumptions!$C$29</f>
        <v/>
      </c>
      <c r="C18" s="11">
        <f>Assumptions!$C$29</f>
        <v/>
      </c>
      <c r="D18" s="11">
        <f>Assumptions!$C$29</f>
        <v/>
      </c>
      <c r="E18" s="11">
        <f>Assumptions!$C$29</f>
        <v/>
      </c>
      <c r="F18" s="11">
        <f>Assumptions!$C$29</f>
        <v/>
      </c>
      <c r="G18" s="11">
        <f>Assumptions!$C$29</f>
        <v/>
      </c>
      <c r="H18" s="11">
        <f>Assumptions!$C$29</f>
        <v/>
      </c>
      <c r="I18" s="11">
        <f>Assumptions!$C$29</f>
        <v/>
      </c>
      <c r="J18" s="11">
        <f>Assumptions!$C$29</f>
        <v/>
      </c>
      <c r="K18" s="11">
        <f>Assumptions!$C$29</f>
        <v/>
      </c>
      <c r="L18" s="11">
        <f>Assumptions!$C$29</f>
        <v/>
      </c>
      <c r="M18" s="11">
        <f>Assumptions!$C$29</f>
        <v/>
      </c>
      <c r="N18" s="11">
        <f>Assumptions!$C$29</f>
        <v/>
      </c>
      <c r="O18" s="11">
        <f>Assumptions!$C$29</f>
        <v/>
      </c>
      <c r="P18" s="11">
        <f>Assumptions!$C$29</f>
        <v/>
      </c>
      <c r="Q18" s="11">
        <f>Assumptions!$C$29</f>
        <v/>
      </c>
      <c r="R18" s="11">
        <f>Assumptions!$C$29</f>
        <v/>
      </c>
      <c r="S18" s="11">
        <f>Assumptions!$C$29</f>
        <v/>
      </c>
      <c r="T18" s="11">
        <f>Assumptions!$C$29</f>
        <v/>
      </c>
      <c r="U18" s="11">
        <f>Assumptions!$C$29</f>
        <v/>
      </c>
      <c r="V18" s="11">
        <f>Assumptions!$C$29</f>
        <v/>
      </c>
      <c r="W18" s="11">
        <f>Assumptions!$C$29</f>
        <v/>
      </c>
      <c r="X18" s="11">
        <f>Assumptions!$C$29</f>
        <v/>
      </c>
      <c r="Y18" s="11">
        <f>Assumptions!$C$29</f>
        <v/>
      </c>
    </row>
    <row r="19">
      <c r="A19" s="14" t="inlineStr">
        <is>
          <t>General operations</t>
        </is>
      </c>
      <c r="B19" s="11">
        <f>Assumptions!$C$30</f>
        <v/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</row>
    <row r="20">
      <c r="A20" s="14" t="inlineStr">
        <is>
          <t>Equipment/startup setup</t>
        </is>
      </c>
      <c r="B20" s="11" t="n">
        <v>0</v>
      </c>
      <c r="C20" s="11" t="n">
        <v>0</v>
      </c>
      <c r="D20" s="11" t="n">
        <v>0</v>
      </c>
      <c r="E20" s="11">
        <f>IFERROR(-PMT(Assumptions!$C$31/12,Assumptions!$C$32,50000),0)</f>
        <v/>
      </c>
      <c r="F20" s="11">
        <f>IFERROR(-PMT(Assumptions!$C$31/12,Assumptions!$C$32,50000),0)</f>
        <v/>
      </c>
      <c r="G20" s="11">
        <f>IFERROR(-PMT(Assumptions!$C$31/12,Assumptions!$C$32,50000),0)</f>
        <v/>
      </c>
      <c r="H20" s="11">
        <f>IFERROR(-PMT(Assumptions!$C$31/12,Assumptions!$C$32,50000),0)</f>
        <v/>
      </c>
      <c r="I20" s="11">
        <f>IFERROR(-PMT(Assumptions!$C$31/12,Assumptions!$C$32,50000),0)</f>
        <v/>
      </c>
      <c r="J20" s="11">
        <f>IFERROR(-PMT(Assumptions!$C$31/12,Assumptions!$C$32,50000),0)</f>
        <v/>
      </c>
      <c r="K20" s="11">
        <f>IFERROR(-PMT(Assumptions!$C$31/12,Assumptions!$C$32,50000),0)</f>
        <v/>
      </c>
      <c r="L20" s="11">
        <f>IFERROR(-PMT(Assumptions!$C$31/12,Assumptions!$C$32,50000),0)</f>
        <v/>
      </c>
      <c r="M20" s="11">
        <f>IFERROR(-PMT(Assumptions!$C$31/12,Assumptions!$C$32,50000),0)</f>
        <v/>
      </c>
      <c r="N20" s="11">
        <f>IFERROR(-PMT(Assumptions!$C$31/12,Assumptions!$C$32,50000),0)</f>
        <v/>
      </c>
      <c r="O20" s="11">
        <f>IFERROR(-PMT(Assumptions!$C$31/12,Assumptions!$C$32,50000),0)</f>
        <v/>
      </c>
      <c r="P20" s="11">
        <f>IFERROR(-PMT(Assumptions!$C$31/12,Assumptions!$C$32,50000),0)</f>
        <v/>
      </c>
      <c r="Q20" s="11">
        <f>IFERROR(-PMT(Assumptions!$C$31/12,Assumptions!$C$32,50000),0)</f>
        <v/>
      </c>
      <c r="R20" s="11">
        <f>IFERROR(-PMT(Assumptions!$C$31/12,Assumptions!$C$32,50000),0)</f>
        <v/>
      </c>
      <c r="S20" s="11">
        <f>IFERROR(-PMT(Assumptions!$C$31/12,Assumptions!$C$32,50000),0)</f>
        <v/>
      </c>
      <c r="T20" s="11">
        <f>IFERROR(-PMT(Assumptions!$C$31/12,Assumptions!$C$32,50000),0)</f>
        <v/>
      </c>
      <c r="U20" s="11">
        <f>IFERROR(-PMT(Assumptions!$C$31/12,Assumptions!$C$32,50000),0)</f>
        <v/>
      </c>
      <c r="V20" s="11">
        <f>IFERROR(-PMT(Assumptions!$C$31/12,Assumptions!$C$32,50000),0)</f>
        <v/>
      </c>
      <c r="W20" s="11">
        <f>IFERROR(-PMT(Assumptions!$C$31/12,Assumptions!$C$32,50000),0)</f>
        <v/>
      </c>
      <c r="X20" s="11">
        <f>IFERROR(-PMT(Assumptions!$C$31/12,Assumptions!$C$32,50000),0)</f>
        <v/>
      </c>
      <c r="Y20" s="11">
        <f>IFERROR(-PMT(Assumptions!$C$31/12,Assumptions!$C$32,50000),0)</f>
        <v/>
      </c>
    </row>
    <row r="21">
      <c r="A21" s="14" t="inlineStr">
        <is>
          <t>Estimated loan payment</t>
        </is>
      </c>
      <c r="B21" s="11">
        <f>SUM(B11:B20)</f>
        <v/>
      </c>
      <c r="C21" s="11">
        <f>SUM(C11:C20)</f>
        <v/>
      </c>
      <c r="D21" s="11">
        <f>SUM(D11:D20)</f>
        <v/>
      </c>
      <c r="E21" s="11">
        <f>SUM(E11:E20)</f>
        <v/>
      </c>
      <c r="F21" s="11">
        <f>SUM(F11:F20)</f>
        <v/>
      </c>
      <c r="G21" s="11">
        <f>SUM(G11:G20)</f>
        <v/>
      </c>
      <c r="H21" s="11">
        <f>SUM(H11:H20)</f>
        <v/>
      </c>
      <c r="I21" s="11">
        <f>SUM(I11:I20)</f>
        <v/>
      </c>
      <c r="J21" s="11">
        <f>SUM(J11:J20)</f>
        <v/>
      </c>
      <c r="K21" s="11">
        <f>SUM(K11:K20)</f>
        <v/>
      </c>
      <c r="L21" s="11">
        <f>SUM(L11:L20)</f>
        <v/>
      </c>
      <c r="M21" s="11">
        <f>SUM(M11:M20)</f>
        <v/>
      </c>
      <c r="N21" s="11">
        <f>SUM(N11:N20)</f>
        <v/>
      </c>
      <c r="O21" s="11">
        <f>SUM(O11:O20)</f>
        <v/>
      </c>
      <c r="P21" s="11">
        <f>SUM(P11:P20)</f>
        <v/>
      </c>
      <c r="Q21" s="11">
        <f>SUM(Q11:Q20)</f>
        <v/>
      </c>
      <c r="R21" s="11">
        <f>SUM(R11:R20)</f>
        <v/>
      </c>
      <c r="S21" s="11">
        <f>SUM(S11:S20)</f>
        <v/>
      </c>
      <c r="T21" s="11">
        <f>SUM(T11:T20)</f>
        <v/>
      </c>
      <c r="U21" s="11">
        <f>SUM(U11:U20)</f>
        <v/>
      </c>
      <c r="V21" s="11">
        <f>SUM(V11:V20)</f>
        <v/>
      </c>
      <c r="W21" s="11">
        <f>SUM(W11:W20)</f>
        <v/>
      </c>
      <c r="X21" s="11">
        <f>SUM(X11:X20)</f>
        <v/>
      </c>
      <c r="Y21" s="11">
        <f>SUM(Y11:Y20)</f>
        <v/>
      </c>
    </row>
    <row r="22">
      <c r="A22" s="15" t="inlineStr">
        <is>
          <t>Total cash outflows</t>
        </is>
      </c>
      <c r="B22" s="11">
        <f>B10-B21</f>
        <v/>
      </c>
      <c r="C22" s="11">
        <f>C10-C21</f>
        <v/>
      </c>
      <c r="D22" s="11">
        <f>D10-D21</f>
        <v/>
      </c>
      <c r="E22" s="11">
        <f>E10-E21</f>
        <v/>
      </c>
      <c r="F22" s="11">
        <f>F10-F21</f>
        <v/>
      </c>
      <c r="G22" s="11">
        <f>G10-G21</f>
        <v/>
      </c>
      <c r="H22" s="11">
        <f>H10-H21</f>
        <v/>
      </c>
      <c r="I22" s="11">
        <f>I10-I21</f>
        <v/>
      </c>
      <c r="J22" s="11">
        <f>J10-J21</f>
        <v/>
      </c>
      <c r="K22" s="11">
        <f>K10-K21</f>
        <v/>
      </c>
      <c r="L22" s="11">
        <f>L10-L21</f>
        <v/>
      </c>
      <c r="M22" s="11">
        <f>M10-M21</f>
        <v/>
      </c>
      <c r="N22" s="11">
        <f>N10-N21</f>
        <v/>
      </c>
      <c r="O22" s="11">
        <f>O10-O21</f>
        <v/>
      </c>
      <c r="P22" s="11">
        <f>P10-P21</f>
        <v/>
      </c>
      <c r="Q22" s="11">
        <f>Q10-Q21</f>
        <v/>
      </c>
      <c r="R22" s="11">
        <f>R10-R21</f>
        <v/>
      </c>
      <c r="S22" s="11">
        <f>S10-S21</f>
        <v/>
      </c>
      <c r="T22" s="11">
        <f>T10-T21</f>
        <v/>
      </c>
      <c r="U22" s="11">
        <f>U10-U21</f>
        <v/>
      </c>
      <c r="V22" s="11">
        <f>V10-V21</f>
        <v/>
      </c>
      <c r="W22" s="11">
        <f>W10-W21</f>
        <v/>
      </c>
      <c r="X22" s="11">
        <f>X10-X21</f>
        <v/>
      </c>
      <c r="Y22" s="11">
        <f>Y10-Y21</f>
        <v/>
      </c>
    </row>
    <row r="23">
      <c r="A23" s="14" t="inlineStr">
        <is>
          <t>Net cash movement</t>
        </is>
      </c>
      <c r="B23" s="11">
        <f>B5+B22</f>
        <v/>
      </c>
      <c r="C23" s="11">
        <f>C5+C22</f>
        <v/>
      </c>
      <c r="D23" s="11">
        <f>D5+D22</f>
        <v/>
      </c>
      <c r="E23" s="11">
        <f>E5+E22</f>
        <v/>
      </c>
      <c r="F23" s="11">
        <f>F5+F22</f>
        <v/>
      </c>
      <c r="G23" s="11">
        <f>G5+G22</f>
        <v/>
      </c>
      <c r="H23" s="11">
        <f>H5+H22</f>
        <v/>
      </c>
      <c r="I23" s="11">
        <f>I5+I22</f>
        <v/>
      </c>
      <c r="J23" s="11">
        <f>J5+J22</f>
        <v/>
      </c>
      <c r="K23" s="11">
        <f>K5+K22</f>
        <v/>
      </c>
      <c r="L23" s="11">
        <f>L5+L22</f>
        <v/>
      </c>
      <c r="M23" s="11">
        <f>M5+M22</f>
        <v/>
      </c>
      <c r="N23" s="11">
        <f>N5+N22</f>
        <v/>
      </c>
      <c r="O23" s="11">
        <f>O5+O22</f>
        <v/>
      </c>
      <c r="P23" s="11">
        <f>P5+P22</f>
        <v/>
      </c>
      <c r="Q23" s="11">
        <f>Q5+Q22</f>
        <v/>
      </c>
      <c r="R23" s="11">
        <f>R5+R22</f>
        <v/>
      </c>
      <c r="S23" s="11">
        <f>S5+S22</f>
        <v/>
      </c>
      <c r="T23" s="11">
        <f>T5+T22</f>
        <v/>
      </c>
      <c r="U23" s="11">
        <f>U5+U22</f>
        <v/>
      </c>
      <c r="V23" s="11">
        <f>V5+V22</f>
        <v/>
      </c>
      <c r="W23" s="11">
        <f>W5+W22</f>
        <v/>
      </c>
      <c r="X23" s="11">
        <f>X5+X22</f>
        <v/>
      </c>
      <c r="Y23" s="11">
        <f>Y5+Y22</f>
        <v/>
      </c>
    </row>
    <row r="24">
      <c r="A24" s="16" t="inlineStr">
        <is>
          <t>Ending cash</t>
        </is>
      </c>
    </row>
  </sheetData>
  <mergeCells count="2">
    <mergeCell ref="A2:H2"/>
    <mergeCell ref="A1:H1"/>
  </mergeCells>
  <conditionalFormatting sqref="B23:Y2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17" customWidth="1" min="4" max="4"/>
    <col width="13" customWidth="1" min="5" max="5"/>
    <col width="22" customWidth="1" min="6" max="6"/>
    <col width="18" customWidth="1" min="7" max="7"/>
    <col width="16" customWidth="1" min="8" max="8"/>
    <col width="38" customWidth="1" min="9" max="9"/>
    <col width="20" customWidth="1" min="10" max="10"/>
    <col width="30" customWidth="1" min="11" max="11"/>
  </cols>
  <sheetData>
    <row r="1" ht="28" customHeight="1">
      <c r="A1" s="1" t="inlineStr">
        <is>
          <t>Pipeline Tracker</t>
        </is>
      </c>
    </row>
    <row r="2" ht="35" customHeight="1">
      <c r="A2" s="2" t="inlineStr">
        <is>
          <t>Starts empty because KTS has no current customer commitments. Add records as they occur; never convert informal interest into revenue.</t>
        </is>
      </c>
    </row>
    <row r="3"/>
    <row r="4" ht="30" customHeight="1">
      <c r="A4" s="3" t="inlineStr">
        <is>
          <t>Lead / customer</t>
        </is>
      </c>
      <c r="B4" s="3" t="inlineStr">
        <is>
          <t>Service</t>
        </is>
      </c>
      <c r="C4" s="3" t="inlineStr">
        <is>
          <t>Stage</t>
        </is>
      </c>
      <c r="D4" s="3" t="inlineStr">
        <is>
          <t>Quoted value</t>
        </is>
      </c>
      <c r="E4" s="3" t="inlineStr">
        <is>
          <t>Deposit %</t>
        </is>
      </c>
      <c r="F4" s="3" t="inlineStr">
        <is>
          <t>Expected close month</t>
        </is>
      </c>
      <c r="G4" s="3" t="inlineStr">
        <is>
          <t>Deposit received?</t>
        </is>
      </c>
      <c r="H4" s="3" t="inlineStr">
        <is>
          <t>Final received?</t>
        </is>
      </c>
      <c r="I4" s="3" t="inlineStr">
        <is>
          <t>Evidence / next action</t>
        </is>
      </c>
      <c r="J4" s="3" t="inlineStr">
        <is>
          <t>Direct cost estimate</t>
        </is>
      </c>
      <c r="K4" s="3" t="inlineStr">
        <is>
          <t>Notes</t>
        </is>
      </c>
    </row>
    <row r="5">
      <c r="A5" s="9" t="n"/>
      <c r="B5" s="9" t="n"/>
      <c r="C5" s="9" t="n"/>
      <c r="D5" s="8" t="n">
        <v>0</v>
      </c>
      <c r="E5" s="10" t="n">
        <v>0.5</v>
      </c>
      <c r="F5" s="9" t="n"/>
      <c r="G5" s="9" t="n"/>
      <c r="H5" s="9" t="n"/>
      <c r="I5" s="9" t="n"/>
      <c r="J5" s="8" t="n">
        <v>0</v>
      </c>
      <c r="K5" s="9" t="n"/>
    </row>
    <row r="6">
      <c r="A6" s="9" t="n"/>
      <c r="B6" s="9" t="n"/>
      <c r="C6" s="9" t="n"/>
      <c r="D6" s="8" t="n">
        <v>0</v>
      </c>
      <c r="E6" s="10" t="n">
        <v>0.5</v>
      </c>
      <c r="F6" s="9" t="n"/>
      <c r="G6" s="9" t="n"/>
      <c r="H6" s="9" t="n"/>
      <c r="I6" s="9" t="n"/>
      <c r="J6" s="8" t="n">
        <v>0</v>
      </c>
      <c r="K6" s="9" t="n"/>
    </row>
    <row r="7">
      <c r="A7" s="9" t="n"/>
      <c r="B7" s="9" t="n"/>
      <c r="C7" s="9" t="n"/>
      <c r="D7" s="8" t="n">
        <v>0</v>
      </c>
      <c r="E7" s="10" t="n">
        <v>0.5</v>
      </c>
      <c r="F7" s="9" t="n"/>
      <c r="G7" s="9" t="n"/>
      <c r="H7" s="9" t="n"/>
      <c r="I7" s="9" t="n"/>
      <c r="J7" s="8" t="n">
        <v>0</v>
      </c>
      <c r="K7" s="9" t="n"/>
    </row>
    <row r="8">
      <c r="A8" s="9" t="n"/>
      <c r="B8" s="9" t="n"/>
      <c r="C8" s="9" t="n"/>
      <c r="D8" s="8" t="n">
        <v>0</v>
      </c>
      <c r="E8" s="10" t="n">
        <v>0.5</v>
      </c>
      <c r="F8" s="9" t="n"/>
      <c r="G8" s="9" t="n"/>
      <c r="H8" s="9" t="n"/>
      <c r="I8" s="9" t="n"/>
      <c r="J8" s="8" t="n">
        <v>0</v>
      </c>
      <c r="K8" s="9" t="n"/>
    </row>
    <row r="9">
      <c r="A9" s="9" t="n"/>
      <c r="B9" s="9" t="n"/>
      <c r="C9" s="9" t="n"/>
      <c r="D9" s="8" t="n">
        <v>0</v>
      </c>
      <c r="E9" s="10" t="n">
        <v>0.5</v>
      </c>
      <c r="F9" s="9" t="n"/>
      <c r="G9" s="9" t="n"/>
      <c r="H9" s="9" t="n"/>
      <c r="I9" s="9" t="n"/>
      <c r="J9" s="8" t="n">
        <v>0</v>
      </c>
      <c r="K9" s="9" t="n"/>
    </row>
    <row r="10">
      <c r="A10" s="9" t="n"/>
      <c r="B10" s="9" t="n"/>
      <c r="C10" s="9" t="n"/>
      <c r="D10" s="8" t="n">
        <v>0</v>
      </c>
      <c r="E10" s="10" t="n">
        <v>0.5</v>
      </c>
      <c r="F10" s="9" t="n"/>
      <c r="G10" s="9" t="n"/>
      <c r="H10" s="9" t="n"/>
      <c r="I10" s="9" t="n"/>
      <c r="J10" s="8" t="n">
        <v>0</v>
      </c>
      <c r="K10" s="9" t="n"/>
    </row>
    <row r="11">
      <c r="A11" s="9" t="n"/>
      <c r="B11" s="9" t="n"/>
      <c r="C11" s="9" t="n"/>
      <c r="D11" s="8" t="n">
        <v>0</v>
      </c>
      <c r="E11" s="10" t="n">
        <v>0.5</v>
      </c>
      <c r="F11" s="9" t="n"/>
      <c r="G11" s="9" t="n"/>
      <c r="H11" s="9" t="n"/>
      <c r="I11" s="9" t="n"/>
      <c r="J11" s="8" t="n">
        <v>0</v>
      </c>
      <c r="K11" s="9" t="n"/>
    </row>
    <row r="12">
      <c r="A12" s="9" t="n"/>
      <c r="B12" s="9" t="n"/>
      <c r="C12" s="9" t="n"/>
      <c r="D12" s="8" t="n">
        <v>0</v>
      </c>
      <c r="E12" s="10" t="n">
        <v>0.5</v>
      </c>
      <c r="F12" s="9" t="n"/>
      <c r="G12" s="9" t="n"/>
      <c r="H12" s="9" t="n"/>
      <c r="I12" s="9" t="n"/>
      <c r="J12" s="8" t="n">
        <v>0</v>
      </c>
      <c r="K12" s="9" t="n"/>
    </row>
    <row r="13">
      <c r="A13" s="9" t="n"/>
      <c r="B13" s="9" t="n"/>
      <c r="C13" s="9" t="n"/>
      <c r="D13" s="8" t="n">
        <v>0</v>
      </c>
      <c r="E13" s="10" t="n">
        <v>0.5</v>
      </c>
      <c r="F13" s="9" t="n"/>
      <c r="G13" s="9" t="n"/>
      <c r="H13" s="9" t="n"/>
      <c r="I13" s="9" t="n"/>
      <c r="J13" s="8" t="n">
        <v>0</v>
      </c>
      <c r="K13" s="9" t="n"/>
    </row>
    <row r="14">
      <c r="A14" s="9" t="n"/>
      <c r="B14" s="9" t="n"/>
      <c r="C14" s="9" t="n"/>
      <c r="D14" s="8" t="n">
        <v>0</v>
      </c>
      <c r="E14" s="10" t="n">
        <v>0.5</v>
      </c>
      <c r="F14" s="9" t="n"/>
      <c r="G14" s="9" t="n"/>
      <c r="H14" s="9" t="n"/>
      <c r="I14" s="9" t="n"/>
      <c r="J14" s="8" t="n">
        <v>0</v>
      </c>
      <c r="K14" s="9" t="n"/>
    </row>
    <row r="15">
      <c r="A15" s="9" t="n"/>
      <c r="B15" s="9" t="n"/>
      <c r="C15" s="9" t="n"/>
      <c r="D15" s="8" t="n">
        <v>0</v>
      </c>
      <c r="E15" s="10" t="n">
        <v>0.5</v>
      </c>
      <c r="F15" s="9" t="n"/>
      <c r="G15" s="9" t="n"/>
      <c r="H15" s="9" t="n"/>
      <c r="I15" s="9" t="n"/>
      <c r="J15" s="8" t="n">
        <v>0</v>
      </c>
      <c r="K15" s="9" t="n"/>
    </row>
    <row r="16">
      <c r="A16" s="9" t="n"/>
      <c r="B16" s="9" t="n"/>
      <c r="C16" s="9" t="n"/>
      <c r="D16" s="8" t="n">
        <v>0</v>
      </c>
      <c r="E16" s="10" t="n">
        <v>0.5</v>
      </c>
      <c r="F16" s="9" t="n"/>
      <c r="G16" s="9" t="n"/>
      <c r="H16" s="9" t="n"/>
      <c r="I16" s="9" t="n"/>
      <c r="J16" s="8" t="n">
        <v>0</v>
      </c>
      <c r="K16" s="9" t="n"/>
    </row>
    <row r="17">
      <c r="A17" s="9" t="n"/>
      <c r="B17" s="9" t="n"/>
      <c r="C17" s="9" t="n"/>
      <c r="D17" s="8" t="n">
        <v>0</v>
      </c>
      <c r="E17" s="10" t="n">
        <v>0.5</v>
      </c>
      <c r="F17" s="9" t="n"/>
      <c r="G17" s="9" t="n"/>
      <c r="H17" s="9" t="n"/>
      <c r="I17" s="9" t="n"/>
      <c r="J17" s="8" t="n">
        <v>0</v>
      </c>
      <c r="K17" s="9" t="n"/>
    </row>
    <row r="18">
      <c r="A18" s="9" t="n"/>
      <c r="B18" s="9" t="n"/>
      <c r="C18" s="9" t="n"/>
      <c r="D18" s="8" t="n">
        <v>0</v>
      </c>
      <c r="E18" s="10" t="n">
        <v>0.5</v>
      </c>
      <c r="F18" s="9" t="n"/>
      <c r="G18" s="9" t="n"/>
      <c r="H18" s="9" t="n"/>
      <c r="I18" s="9" t="n"/>
      <c r="J18" s="8" t="n">
        <v>0</v>
      </c>
      <c r="K18" s="9" t="n"/>
    </row>
    <row r="19">
      <c r="A19" s="9" t="n"/>
      <c r="B19" s="9" t="n"/>
      <c r="C19" s="9" t="n"/>
      <c r="D19" s="8" t="n">
        <v>0</v>
      </c>
      <c r="E19" s="10" t="n">
        <v>0.5</v>
      </c>
      <c r="F19" s="9" t="n"/>
      <c r="G19" s="9" t="n"/>
      <c r="H19" s="9" t="n"/>
      <c r="I19" s="9" t="n"/>
      <c r="J19" s="8" t="n">
        <v>0</v>
      </c>
      <c r="K19" s="9" t="n"/>
    </row>
    <row r="20">
      <c r="A20" s="9" t="n"/>
      <c r="B20" s="9" t="n"/>
      <c r="C20" s="9" t="n"/>
      <c r="D20" s="8" t="n">
        <v>0</v>
      </c>
      <c r="E20" s="10" t="n">
        <v>0.5</v>
      </c>
      <c r="F20" s="9" t="n"/>
      <c r="G20" s="9" t="n"/>
      <c r="H20" s="9" t="n"/>
      <c r="I20" s="9" t="n"/>
      <c r="J20" s="8" t="n">
        <v>0</v>
      </c>
      <c r="K20" s="9" t="n"/>
    </row>
    <row r="21">
      <c r="A21" s="9" t="n"/>
      <c r="B21" s="9" t="n"/>
      <c r="C21" s="9" t="n"/>
      <c r="D21" s="8" t="n">
        <v>0</v>
      </c>
      <c r="E21" s="10" t="n">
        <v>0.5</v>
      </c>
      <c r="F21" s="9" t="n"/>
      <c r="G21" s="9" t="n"/>
      <c r="H21" s="9" t="n"/>
      <c r="I21" s="9" t="n"/>
      <c r="J21" s="8" t="n">
        <v>0</v>
      </c>
      <c r="K21" s="9" t="n"/>
    </row>
    <row r="22">
      <c r="A22" s="9" t="n"/>
      <c r="B22" s="9" t="n"/>
      <c r="C22" s="9" t="n"/>
      <c r="D22" s="8" t="n">
        <v>0</v>
      </c>
      <c r="E22" s="10" t="n">
        <v>0.5</v>
      </c>
      <c r="F22" s="9" t="n"/>
      <c r="G22" s="9" t="n"/>
      <c r="H22" s="9" t="n"/>
      <c r="I22" s="9" t="n"/>
      <c r="J22" s="8" t="n">
        <v>0</v>
      </c>
      <c r="K22" s="9" t="n"/>
    </row>
    <row r="23">
      <c r="A23" s="9" t="n"/>
      <c r="B23" s="9" t="n"/>
      <c r="C23" s="9" t="n"/>
      <c r="D23" s="8" t="n">
        <v>0</v>
      </c>
      <c r="E23" s="10" t="n">
        <v>0.5</v>
      </c>
      <c r="F23" s="9" t="n"/>
      <c r="G23" s="9" t="n"/>
      <c r="H23" s="9" t="n"/>
      <c r="I23" s="9" t="n"/>
      <c r="J23" s="8" t="n">
        <v>0</v>
      </c>
      <c r="K23" s="9" t="n"/>
    </row>
    <row r="24">
      <c r="A24" s="9" t="n"/>
      <c r="B24" s="9" t="n"/>
      <c r="C24" s="9" t="n"/>
      <c r="D24" s="8" t="n">
        <v>0</v>
      </c>
      <c r="E24" s="10" t="n">
        <v>0.5</v>
      </c>
      <c r="F24" s="9" t="n"/>
      <c r="G24" s="9" t="n"/>
      <c r="H24" s="9" t="n"/>
      <c r="I24" s="9" t="n"/>
      <c r="J24" s="8" t="n">
        <v>0</v>
      </c>
      <c r="K24" s="9" t="n"/>
    </row>
    <row r="25">
      <c r="A25" s="9" t="n"/>
      <c r="B25" s="9" t="n"/>
      <c r="C25" s="9" t="n"/>
      <c r="D25" s="8" t="n">
        <v>0</v>
      </c>
      <c r="E25" s="10" t="n">
        <v>0.5</v>
      </c>
      <c r="F25" s="9" t="n"/>
      <c r="G25" s="9" t="n"/>
      <c r="H25" s="9" t="n"/>
      <c r="I25" s="9" t="n"/>
      <c r="J25" s="8" t="n">
        <v>0</v>
      </c>
      <c r="K25" s="9" t="n"/>
    </row>
    <row r="26">
      <c r="A26" s="9" t="n"/>
      <c r="B26" s="9" t="n"/>
      <c r="C26" s="9" t="n"/>
      <c r="D26" s="8" t="n">
        <v>0</v>
      </c>
      <c r="E26" s="10" t="n">
        <v>0.5</v>
      </c>
      <c r="F26" s="9" t="n"/>
      <c r="G26" s="9" t="n"/>
      <c r="H26" s="9" t="n"/>
      <c r="I26" s="9" t="n"/>
      <c r="J26" s="8" t="n">
        <v>0</v>
      </c>
      <c r="K26" s="9" t="n"/>
    </row>
    <row r="27">
      <c r="A27" s="9" t="n"/>
      <c r="B27" s="9" t="n"/>
      <c r="C27" s="9" t="n"/>
      <c r="D27" s="8" t="n">
        <v>0</v>
      </c>
      <c r="E27" s="10" t="n">
        <v>0.5</v>
      </c>
      <c r="F27" s="9" t="n"/>
      <c r="G27" s="9" t="n"/>
      <c r="H27" s="9" t="n"/>
      <c r="I27" s="9" t="n"/>
      <c r="J27" s="8" t="n">
        <v>0</v>
      </c>
      <c r="K27" s="9" t="n"/>
    </row>
    <row r="28">
      <c r="A28" s="9" t="n"/>
      <c r="B28" s="9" t="n"/>
      <c r="C28" s="9" t="n"/>
      <c r="D28" s="8" t="n">
        <v>0</v>
      </c>
      <c r="E28" s="10" t="n">
        <v>0.5</v>
      </c>
      <c r="F28" s="9" t="n"/>
      <c r="G28" s="9" t="n"/>
      <c r="H28" s="9" t="n"/>
      <c r="I28" s="9" t="n"/>
      <c r="J28" s="8" t="n">
        <v>0</v>
      </c>
      <c r="K28" s="9" t="n"/>
    </row>
    <row r="29">
      <c r="A29" s="9" t="n"/>
      <c r="B29" s="9" t="n"/>
      <c r="C29" s="9" t="n"/>
      <c r="D29" s="8" t="n">
        <v>0</v>
      </c>
      <c r="E29" s="10" t="n">
        <v>0.5</v>
      </c>
      <c r="F29" s="9" t="n"/>
      <c r="G29" s="9" t="n"/>
      <c r="H29" s="9" t="n"/>
      <c r="I29" s="9" t="n"/>
      <c r="J29" s="8" t="n">
        <v>0</v>
      </c>
      <c r="K29" s="9" t="n"/>
    </row>
    <row r="30">
      <c r="A30" s="9" t="n"/>
      <c r="B30" s="9" t="n"/>
      <c r="C30" s="9" t="n"/>
      <c r="D30" s="8" t="n">
        <v>0</v>
      </c>
      <c r="E30" s="10" t="n">
        <v>0.5</v>
      </c>
      <c r="F30" s="9" t="n"/>
      <c r="G30" s="9" t="n"/>
      <c r="H30" s="9" t="n"/>
      <c r="I30" s="9" t="n"/>
      <c r="J30" s="8" t="n">
        <v>0</v>
      </c>
      <c r="K30" s="9" t="n"/>
    </row>
    <row r="31">
      <c r="A31" s="9" t="n"/>
      <c r="B31" s="9" t="n"/>
      <c r="C31" s="9" t="n"/>
      <c r="D31" s="8" t="n">
        <v>0</v>
      </c>
      <c r="E31" s="10" t="n">
        <v>0.5</v>
      </c>
      <c r="F31" s="9" t="n"/>
      <c r="G31" s="9" t="n"/>
      <c r="H31" s="9" t="n"/>
      <c r="I31" s="9" t="n"/>
      <c r="J31" s="8" t="n">
        <v>0</v>
      </c>
      <c r="K31" s="9" t="n"/>
    </row>
    <row r="32">
      <c r="A32" s="9" t="n"/>
      <c r="B32" s="9" t="n"/>
      <c r="C32" s="9" t="n"/>
      <c r="D32" s="8" t="n">
        <v>0</v>
      </c>
      <c r="E32" s="10" t="n">
        <v>0.5</v>
      </c>
      <c r="F32" s="9" t="n"/>
      <c r="G32" s="9" t="n"/>
      <c r="H32" s="9" t="n"/>
      <c r="I32" s="9" t="n"/>
      <c r="J32" s="8" t="n">
        <v>0</v>
      </c>
      <c r="K32" s="9" t="n"/>
    </row>
    <row r="33">
      <c r="A33" s="9" t="n"/>
      <c r="B33" s="9" t="n"/>
      <c r="C33" s="9" t="n"/>
      <c r="D33" s="8" t="n">
        <v>0</v>
      </c>
      <c r="E33" s="10" t="n">
        <v>0.5</v>
      </c>
      <c r="F33" s="9" t="n"/>
      <c r="G33" s="9" t="n"/>
      <c r="H33" s="9" t="n"/>
      <c r="I33" s="9" t="n"/>
      <c r="J33" s="8" t="n">
        <v>0</v>
      </c>
      <c r="K33" s="9" t="n"/>
    </row>
    <row r="34">
      <c r="A34" s="9" t="n"/>
      <c r="B34" s="9" t="n"/>
      <c r="C34" s="9" t="n"/>
      <c r="D34" s="8" t="n">
        <v>0</v>
      </c>
      <c r="E34" s="10" t="n">
        <v>0.5</v>
      </c>
      <c r="F34" s="9" t="n"/>
      <c r="G34" s="9" t="n"/>
      <c r="H34" s="9" t="n"/>
      <c r="I34" s="9" t="n"/>
      <c r="J34" s="8" t="n">
        <v>0</v>
      </c>
      <c r="K34" s="9" t="n"/>
    </row>
  </sheetData>
  <mergeCells count="2">
    <mergeCell ref="A2:H2"/>
    <mergeCell ref="A1:H1"/>
  </mergeCells>
  <dataValidations count="1">
    <dataValidation sqref="C5:C34" showDropDown="0" showInputMessage="0" showErrorMessage="0" allowBlank="0" type="list">
      <formula1>"Lead,Qualified,Discovery,Proposal,Contract signed,Deposit received,Active delivery,Invoice issued,Completed and collected,Lost"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8" customWidth="1" min="5" max="5"/>
    <col width="30" customWidth="1" min="6" max="6"/>
    <col width="42" customWidth="1" min="7" max="7"/>
  </cols>
  <sheetData>
    <row r="1" ht="28" customHeight="1">
      <c r="A1" s="1" t="inlineStr">
        <is>
          <t>Debt Scenarios</t>
        </is>
      </c>
    </row>
    <row r="2" ht="35" customHeight="1">
      <c r="A2" s="2" t="inlineStr">
        <is>
          <t>These are purely illustrative mathematical scenarios using editable assumptions. They are not an SBA rate, lender quote, qualification, or approval.</t>
        </is>
      </c>
    </row>
    <row r="3"/>
    <row r="4" ht="30" customHeight="1">
      <c r="A4" s="3" t="inlineStr">
        <is>
          <t>Funding case</t>
        </is>
      </c>
      <c r="B4" s="3" t="inlineStr">
        <is>
          <t>Loan amount</t>
        </is>
      </c>
      <c r="C4" s="3" t="inlineStr">
        <is>
          <t>Annual rate</t>
        </is>
      </c>
      <c r="D4" s="3" t="inlineStr">
        <is>
          <t>Term months</t>
        </is>
      </c>
      <c r="E4" s="3" t="inlineStr">
        <is>
          <t>Estimated monthly payment</t>
        </is>
      </c>
      <c r="F4" s="3" t="inlineStr">
        <is>
          <t>Estimated annual debt service</t>
        </is>
      </c>
      <c r="G4" s="3" t="inlineStr">
        <is>
          <t>Source / warning</t>
        </is>
      </c>
    </row>
    <row r="5">
      <c r="A5" s="4" t="inlineStr">
        <is>
          <t>Starter A</t>
        </is>
      </c>
      <c r="B5" s="11" t="n">
        <v>25000</v>
      </c>
      <c r="C5" s="17" t="n">
        <v>0.11</v>
      </c>
      <c r="D5" s="4" t="n">
        <v>84</v>
      </c>
      <c r="E5" s="11">
        <f>IFERROR(-PMT(C5/12,D5,B5),0)</f>
        <v/>
      </c>
      <c r="F5" s="11">
        <f>E5*12</f>
        <v/>
      </c>
      <c r="G5" s="4" t="inlineStr">
        <is>
          <t>Illustrative—replace with lender terms.</t>
        </is>
      </c>
    </row>
    <row r="6">
      <c r="A6" s="4" t="inlineStr">
        <is>
          <t>Starter B</t>
        </is>
      </c>
      <c r="B6" s="11" t="n">
        <v>50000</v>
      </c>
      <c r="C6" s="17" t="n">
        <v>0.11</v>
      </c>
      <c r="D6" s="4" t="n">
        <v>84</v>
      </c>
      <c r="E6" s="11">
        <f>IFERROR(-PMT(C6/12,D6,B6),0)</f>
        <v/>
      </c>
      <c r="F6" s="11">
        <f>E6*12</f>
        <v/>
      </c>
      <c r="G6" s="4" t="inlineStr">
        <is>
          <t>Illustrative—replace with lender terms.</t>
        </is>
      </c>
    </row>
    <row r="7">
      <c r="A7" s="4" t="inlineStr">
        <is>
          <t>Alternative $50k / 5 years</t>
        </is>
      </c>
      <c r="B7" s="11" t="n">
        <v>50000</v>
      </c>
      <c r="C7" s="17" t="n">
        <v>0.13</v>
      </c>
      <c r="D7" s="4" t="n">
        <v>60</v>
      </c>
      <c r="E7" s="11">
        <f>IFERROR(-PMT(C7/12,D7,B7),0)</f>
        <v/>
      </c>
      <c r="F7" s="11">
        <f>E7*12</f>
        <v/>
      </c>
      <c r="G7" s="4" t="inlineStr">
        <is>
          <t>Illustrative—replace with lender terms.</t>
        </is>
      </c>
    </row>
    <row r="8">
      <c r="A8" s="4" t="inlineStr">
        <is>
          <t>Alternative $50k / 10 years</t>
        </is>
      </c>
      <c r="B8" s="11" t="n">
        <v>50000</v>
      </c>
      <c r="C8" s="17" t="n">
        <v>0.09</v>
      </c>
      <c r="D8" s="4" t="n">
        <v>120</v>
      </c>
      <c r="E8" s="11">
        <f>IFERROR(-PMT(C8/12,D8,B8),0)</f>
        <v/>
      </c>
      <c r="F8" s="11">
        <f>E8*12</f>
        <v/>
      </c>
      <c r="G8" s="4" t="inlineStr">
        <is>
          <t>Illustrative—replace with lender terms.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27" customWidth="1" min="3" max="3"/>
    <col width="35" customWidth="1" min="4" max="4"/>
    <col width="36" customWidth="1" min="5" max="5"/>
    <col width="38" customWidth="1" min="6" max="6"/>
  </cols>
  <sheetData>
    <row r="1" ht="28" customHeight="1">
      <c r="A1" s="1" t="inlineStr">
        <is>
          <t>Assumptions Register</t>
        </is>
      </c>
    </row>
    <row r="2" ht="35" customHeight="1">
      <c r="A2" s="2" t="inlineStr">
        <is>
          <t>Bring this to the WVSBDC meeting so assumptions can be replaced with evidence rather than treated as facts.</t>
        </is>
      </c>
    </row>
    <row r="3"/>
    <row r="4" ht="30" customHeight="1">
      <c r="A4" s="3" t="inlineStr">
        <is>
          <t>Topic</t>
        </is>
      </c>
      <c r="B4" s="3" t="inlineStr">
        <is>
          <t>Current treatment</t>
        </is>
      </c>
      <c r="C4" s="3" t="inlineStr">
        <is>
          <t>Status</t>
        </is>
      </c>
      <c r="D4" s="3" t="inlineStr">
        <is>
          <t>Evidence needed</t>
        </is>
      </c>
      <c r="E4" s="3" t="inlineStr">
        <is>
          <t>What not to claim</t>
        </is>
      </c>
      <c r="F4" s="3" t="inlineStr">
        <is>
          <t>Next action</t>
        </is>
      </c>
    </row>
    <row r="5">
      <c r="A5" s="4" t="inlineStr">
        <is>
          <t>KTS revenue</t>
        </is>
      </c>
      <c r="B5" s="4" t="inlineStr">
        <is>
          <t>No current revenue</t>
        </is>
      </c>
      <c r="C5" s="4" t="inlineStr">
        <is>
          <t>Verified current condition</t>
        </is>
      </c>
      <c r="D5" s="4" t="inlineStr">
        <is>
          <t>Business records / pipeline</t>
        </is>
      </c>
      <c r="E5" s="4" t="inlineStr">
        <is>
          <t>Do not claim bookings, backlog, or collections</t>
        </is>
      </c>
      <c r="F5" s="4" t="inlineStr">
        <is>
          <t>Build prospect and proposal record</t>
        </is>
      </c>
    </row>
    <row r="6">
      <c r="A6" s="4" t="inlineStr">
        <is>
          <t>Customer proof</t>
        </is>
      </c>
      <c r="B6" s="4" t="inlineStr">
        <is>
          <t>No contracts, deposits, invoices, POs, or LOIs</t>
        </is>
      </c>
      <c r="C6" s="4" t="inlineStr">
        <is>
          <t>Verified current condition</t>
        </is>
      </c>
      <c r="D6" s="4" t="inlineStr">
        <is>
          <t>Future signed scopes/deposits</t>
        </is>
      </c>
      <c r="E6" s="4" t="inlineStr">
        <is>
          <t>Do not imply commitments</t>
        </is>
      </c>
      <c r="F6" s="4" t="inlineStr">
        <is>
          <t>Conduct discovery; send real proposals</t>
        </is>
      </c>
    </row>
    <row r="7">
      <c r="A7" s="4" t="inlineStr">
        <is>
          <t>Funding</t>
        </is>
      </c>
      <c r="B7" s="4" t="inlineStr">
        <is>
          <t>$25k and $50k discussion cases</t>
        </is>
      </c>
      <c r="C7" s="4" t="inlineStr">
        <is>
          <t>Planning cases only</t>
        </is>
      </c>
      <c r="D7" s="4" t="inlineStr">
        <is>
          <t>SBDC/lender feedback</t>
        </is>
      </c>
      <c r="E7" s="4" t="inlineStr">
        <is>
          <t>Do not claim approval</t>
        </is>
      </c>
      <c r="F7" s="4" t="inlineStr">
        <is>
          <t>Ask which case is appropriate</t>
        </is>
      </c>
    </row>
    <row r="8">
      <c r="A8" s="4" t="inlineStr">
        <is>
          <t>Local-business sales ramp</t>
        </is>
      </c>
      <c r="B8" s="4" t="inlineStr">
        <is>
          <t>Units and price assumptions in workbook</t>
        </is>
      </c>
      <c r="C8" s="4" t="inlineStr">
        <is>
          <t>Planning assumptions</t>
        </is>
      </c>
      <c r="D8" s="4" t="inlineStr">
        <is>
          <t>Quotes, proposals, deposits, invoices</t>
        </is>
      </c>
      <c r="E8" s="4" t="inlineStr">
        <is>
          <t>Do not call forecast revenue</t>
        </is>
      </c>
      <c r="F8" s="4" t="inlineStr">
        <is>
          <t>Update monthly</t>
        </is>
      </c>
    </row>
    <row r="9">
      <c r="A9" s="4" t="inlineStr">
        <is>
          <t>ALLIS</t>
        </is>
      </c>
      <c r="B9" s="4" t="inlineStr">
        <is>
          <t>$0 revenue</t>
        </is>
      </c>
      <c r="C9" s="4" t="inlineStr">
        <is>
          <t>Business boundary</t>
        </is>
      </c>
      <c r="D9" s="4" t="inlineStr">
        <is>
          <t>Future market authorization</t>
        </is>
      </c>
      <c r="E9" s="4" t="inlineStr">
        <is>
          <t>Do not use as repayment source</t>
        </is>
      </c>
      <c r="F9" s="4" t="inlineStr">
        <is>
          <t>Keep excluded</t>
        </is>
      </c>
    </row>
    <row r="10">
      <c r="A10" s="4" t="inlineStr">
        <is>
          <t>Founder compensation</t>
        </is>
      </c>
      <c r="B10" s="4" t="inlineStr">
        <is>
          <t>$0 in starter model; $100k future target</t>
        </is>
      </c>
      <c r="C10" s="4" t="inlineStr">
        <is>
          <t>User-confirmed / target</t>
        </is>
      </c>
      <c r="D10" s="4" t="inlineStr">
        <is>
          <t>Future cash trigger and payroll setup</t>
        </is>
      </c>
      <c r="E10" s="4" t="inlineStr">
        <is>
          <t>Do not claim current payroll</t>
        </is>
      </c>
      <c r="F10" s="4" t="inlineStr">
        <is>
          <t>Keep deferred</t>
        </is>
      </c>
    </row>
    <row r="11">
      <c r="A11" s="4" t="inlineStr">
        <is>
          <t>Caregiver payment</t>
        </is>
      </c>
      <c r="B11" s="4" t="inlineStr">
        <is>
          <t>Personal Medicaid-waiver income</t>
        </is>
      </c>
      <c r="C11" s="4" t="inlineStr">
        <is>
          <t>User-confirmed personal context</t>
        </is>
      </c>
      <c r="D11" s="4" t="inlineStr">
        <is>
          <t>Private payment/tax records if requested</t>
        </is>
      </c>
      <c r="E11" s="4" t="inlineStr">
        <is>
          <t>Do not list as KTS revenue</t>
        </is>
      </c>
      <c r="F11" s="4" t="inlineStr">
        <is>
          <t>Discuss privately with advisor</t>
        </is>
      </c>
    </row>
    <row r="12">
      <c r="A12" s="4" t="inlineStr">
        <is>
          <t>Legal services</t>
        </is>
      </c>
      <c r="B12" s="4" t="inlineStr">
        <is>
          <t>$150/hr; up to 33 hrs/quarter; $4,950 + $50 overhead</t>
        </is>
      </c>
      <c r="C12" s="4" t="inlineStr">
        <is>
          <t>Proposed, not contracted</t>
        </is>
      </c>
      <c r="D12" s="4" t="inlineStr">
        <is>
          <t>Accepted written engagement terms</t>
        </is>
      </c>
      <c r="E12" s="4" t="inlineStr">
        <is>
          <t>Do not call it contracted</t>
        </is>
      </c>
      <c r="F12" s="4" t="inlineStr">
        <is>
          <t>Obtain agreement if accepted</t>
        </is>
      </c>
    </row>
    <row r="13">
      <c r="A13" s="4" t="inlineStr">
        <is>
          <t>Personal budget / debt</t>
        </is>
      </c>
      <c r="B13" s="4" t="inlineStr">
        <is>
          <t>$0 given for each</t>
        </is>
      </c>
      <c r="C13" s="4" t="inlineStr">
        <is>
          <t>User-provided</t>
        </is>
      </c>
      <c r="D13" s="4" t="inlineStr">
        <is>
          <t>Private budget and lender review if requested</t>
        </is>
      </c>
      <c r="E13" s="4" t="inlineStr">
        <is>
          <t>Do not omit requested personal disclosures</t>
        </is>
      </c>
      <c r="F13" s="4" t="inlineStr">
        <is>
          <t>Prepare privately</t>
        </is>
      </c>
    </row>
    <row r="14">
      <c r="A14" s="4" t="inlineStr">
        <is>
          <t>Equipment / operations</t>
        </is>
      </c>
      <c r="B14" s="4" t="inlineStr">
        <is>
          <t>No existing KTS essentials reported</t>
        </is>
      </c>
      <c r="C14" s="4" t="inlineStr">
        <is>
          <t>User-confirmed</t>
        </is>
      </c>
      <c r="D14" s="4" t="inlineStr">
        <is>
          <t>Vendor quotes</t>
        </is>
      </c>
      <c r="E14" s="4" t="inlineStr">
        <is>
          <t>Do not present estimates as quotes</t>
        </is>
      </c>
      <c r="F14" s="4" t="inlineStr">
        <is>
          <t>Gather 2–3 quotes for major purchases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WVSBDC Meeting Brief</t>
        </is>
      </c>
    </row>
    <row r="2" ht="35" customHeight="1">
      <c r="A2" s="2" t="inlineStr">
        <is>
          <t>One-page working brief for a first counseling conversation.</t>
        </is>
      </c>
    </row>
    <row r="3"/>
    <row r="4" ht="48" customHeight="1">
      <c r="A4" s="3" t="inlineStr">
        <is>
          <t>Business</t>
        </is>
      </c>
      <c r="B4" s="4" t="inlineStr">
        <is>
          <t>Kidd’s Technical Services, LLC (KTS), Oak Hill, West Virginia.</t>
        </is>
      </c>
      <c r="C4" s="4" t="n"/>
      <c r="D4" s="4" t="n"/>
      <c r="E4" s="4" t="n"/>
      <c r="F4" s="4" t="n"/>
      <c r="G4" s="4" t="n"/>
      <c r="H4" s="4" t="n"/>
    </row>
    <row r="5" ht="48" customHeight="1">
      <c r="A5" s="3" t="inlineStr">
        <is>
          <t>Position</t>
        </is>
      </c>
      <c r="B5" s="4" t="inlineStr">
        <is>
          <t>Pre-revenue, bootstrapped startup. Starting business cash is $0. KTS has no current contracts, deposits, invoices, purchase orders, or letters of intent.</t>
        </is>
      </c>
      <c r="C5" s="4" t="n"/>
      <c r="D5" s="4" t="n"/>
      <c r="E5" s="4" t="n"/>
      <c r="F5" s="4" t="n"/>
      <c r="G5" s="4" t="n"/>
      <c r="H5" s="4" t="n"/>
    </row>
    <row r="6" ht="48" customHeight="1">
      <c r="A6" s="3" t="inlineStr">
        <is>
          <t>Initial sale focus</t>
        </is>
      </c>
      <c r="B6" s="4" t="inlineStr">
        <is>
          <t>Local-business packages: accurate business information, directions, QR-linked information hubs, local listing cleanup, service-area pages, maps, and care plans.</t>
        </is>
      </c>
      <c r="C6" s="4" t="n"/>
      <c r="D6" s="4" t="n"/>
      <c r="E6" s="4" t="n"/>
      <c r="F6" s="4" t="n"/>
      <c r="G6" s="4" t="n"/>
      <c r="H6" s="4" t="n"/>
    </row>
    <row r="7" ht="48" customHeight="1">
      <c r="A7" s="3" t="inlineStr">
        <is>
          <t>What exists</t>
        </is>
      </c>
      <c r="B7" s="4" t="inlineStr">
        <is>
          <t>Business planning materials covering company, services, market, operations, revenue model, use of funds, financial projections, and agreement framework.</t>
        </is>
      </c>
      <c r="C7" s="4" t="n"/>
      <c r="D7" s="4" t="n"/>
      <c r="E7" s="4" t="n"/>
      <c r="F7" s="4" t="n"/>
      <c r="G7" s="4" t="n"/>
      <c r="H7" s="4" t="n"/>
    </row>
    <row r="8" ht="48" customHeight="1">
      <c r="A8" s="3" t="inlineStr">
        <is>
          <t>What is requested</t>
        </is>
      </c>
      <c r="B8" s="4" t="inlineStr">
        <is>
          <t>Help choosing between staged $25,000 and $50,000 startup funding discussion cases; developing lender-ready monthly forecasts; understanding owner contribution, credit, collateral, documentation, and evidence milestones.</t>
        </is>
      </c>
      <c r="C8" s="4" t="n"/>
      <c r="D8" s="4" t="n"/>
      <c r="E8" s="4" t="n"/>
      <c r="F8" s="4" t="n"/>
      <c r="G8" s="4" t="n"/>
      <c r="H8" s="4" t="n"/>
    </row>
    <row r="9" ht="48" customHeight="1">
      <c r="A9" s="3" t="inlineStr">
        <is>
          <t>Use of funds</t>
        </is>
      </c>
      <c r="B9" s="4" t="inlineStr">
        <is>
          <t>Core setup: legal/professional services, insurance, essential equipment, software/domains/storage/communications, website/portfolio/outreach, limited operating reserve, and project-funded delivery costs.</t>
        </is>
      </c>
      <c r="C9" s="4" t="n"/>
      <c r="D9" s="4" t="n"/>
      <c r="E9" s="4" t="n"/>
      <c r="F9" s="4" t="n"/>
      <c r="G9" s="4" t="n"/>
      <c r="H9" s="4" t="n"/>
    </row>
    <row r="10" ht="48" customHeight="1">
      <c r="A10" s="3" t="inlineStr">
        <is>
          <t>Cash discipline</t>
        </is>
      </c>
      <c r="B10" s="4" t="inlineStr">
        <is>
          <t>Founder pay is $0 in this starter model. Contractor work is project-funded only. Customer deposit policy is modeled at 50% before delivery. ALLIS revenue is $0 and excluded.</t>
        </is>
      </c>
      <c r="C10" s="4" t="n"/>
      <c r="D10" s="4" t="n"/>
      <c r="E10" s="4" t="n"/>
      <c r="F10" s="4" t="n"/>
      <c r="G10" s="4" t="n"/>
      <c r="H10" s="4" t="n"/>
    </row>
    <row r="11" ht="48" customHeight="1">
      <c r="A11" s="3" t="inlineStr">
        <is>
          <t>Personal context</t>
        </is>
      </c>
      <c r="B11" s="4" t="inlineStr">
        <is>
          <t>Founder receives personal caregiver compensation through a Medicaid-waiver program. It is personal income, not KTS revenue. Founder is a caregiver; business operations and financing must be phased realistically around that responsibility.</t>
        </is>
      </c>
      <c r="C11" s="4" t="n"/>
      <c r="D11" s="4" t="n"/>
      <c r="E11" s="4" t="n"/>
      <c r="F11" s="4" t="n"/>
      <c r="G11" s="4" t="n"/>
      <c r="H11" s="4" t="n"/>
    </row>
    <row r="12" ht="48" customHeight="1">
      <c r="A12" s="3" t="inlineStr">
        <is>
          <t>Questions</t>
        </is>
      </c>
      <c r="B12" s="4" t="inlineStr">
        <is>
          <t>What is the smallest responsible funding path? Which program and lender type fit? What owner financial documents, customer validation, cash flow, credit, collateral, and debt-service evidence are needed before applying?</t>
        </is>
      </c>
      <c r="C12" s="4" t="n"/>
      <c r="D12" s="4" t="n"/>
      <c r="E12" s="4" t="n"/>
      <c r="F12" s="4" t="n"/>
      <c r="G12" s="4" t="n"/>
      <c r="H12" s="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2026-08-20T23:10:00Z</dcterms:created>
  <dcterms:modified xmlns:dcterms="http://purl.org/dc/terms/" xmlns:xsi="http://www.w3.org/2001/XMLSchema-instance" xsi:type="dcterms:W3CDTF">2026-08-20T23:10:00Z</dcterms:modified>
</cp:coreProperties>
</file>